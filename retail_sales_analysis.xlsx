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E03DD82-4E28-42D5-8D22-D77E809BA448}" xr6:coauthVersionLast="47" xr6:coauthVersionMax="47" xr10:uidLastSave="{00000000-0000-0000-0000-000000000000}"/>
  <bookViews>
    <workbookView xWindow="-120" yWindow="-120" windowWidth="29040" windowHeight="15720" xr2:uid="{C3742122-53E2-40D2-959A-37215121E20C}"/>
  </bookViews>
  <sheets>
    <sheet name="raw data" sheetId="2" r:id="rId1"/>
    <sheet name="summary" sheetId="4" r:id="rId2"/>
    <sheet name="pivot" sheetId="5" r:id="rId3"/>
    <sheet name="Trend" sheetId="7" r:id="rId4"/>
    <sheet name="Dashboard" sheetId="8" r:id="rId5"/>
  </sheets>
  <definedNames>
    <definedName name="ExternalData_1" localSheetId="0" hidden="1">'raw data'!$A$1:$I$1001</definedName>
  </definedNames>
  <calcPr calcId="191029"/>
  <pivotCaches>
    <pivotCache cacheId="4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8" l="1"/>
  <c r="B16" i="4"/>
  <c r="B17" i="4"/>
  <c r="B18" i="4"/>
  <c r="B19" i="4"/>
  <c r="B20" i="4"/>
  <c r="B13" i="4"/>
  <c r="B12" i="4"/>
  <c r="B11" i="4"/>
  <c r="B10" i="4"/>
  <c r="B9" i="4"/>
  <c r="B6" i="4"/>
  <c r="B4" i="8" s="1"/>
  <c r="B5" i="4"/>
  <c r="B4" i="4"/>
  <c r="B3" i="4"/>
  <c r="C4" i="8" s="1"/>
  <c r="B2" i="4"/>
  <c r="A4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30B3F6-A14D-4567-AC8D-5A4023188FEE}" keepAlive="1" name="Query - rawa data" description="Connection to the 'rawa data' query in the workbook." type="5" refreshedVersion="8" background="1" saveData="1">
    <dbPr connection="Provider=Microsoft.Mashup.OleDb.1;Data Source=$Workbook$;Location=&quot;rawa data&quot;;Extended Properties=&quot;&quot;" command="SELECT * FROM [rawa data]"/>
  </connection>
  <connection id="2" xr16:uid="{A7A15B8C-F3AD-4DAA-8384-47E1FB715E22}" keepAlive="1" name="Query - summary" description="Connection to the 'summary' query in the workbook." type="5" refreshedVersion="0" background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<sst xmlns="http://schemas.openxmlformats.org/spreadsheetml/2006/main" count="3092" uniqueCount="1066">
  <si>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</si>
  <si>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</si>
  <si>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</si>
  <si>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</si>
  <si>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</si>
  <si>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</si>
  <si>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</si>
  <si>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</si>
  <si>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</si>
  <si>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</si>
  <si>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</si>
  <si>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</si>
  <si>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</si>
  <si>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</si>
  <si>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</si>
  <si>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</si>
  <si>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</si>
  <si>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</si>
  <si>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</si>
  <si>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</si>
  <si>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</si>
  <si>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</si>
  <si>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</si>
  <si>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</si>
  <si>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</si>
  <si>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</si>
  <si>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</si>
  <si>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</si>
  <si>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</si>
  <si>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</si>
  <si>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</si>
  <si>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</si>
  <si>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</si>
  <si>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</si>
  <si>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</si>
  <si>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</si>
  <si>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</si>
  <si>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</si>
  <si>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</si>
  <si>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</si>
  <si>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</si>
  <si>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</si>
  <si>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</si>
  <si>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</si>
  <si>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</si>
  <si>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</si>
  <si>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</si>
  <si>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</si>
  <si>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</si>
  <si>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</si>
  <si>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</si>
  <si>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</si>
  <si>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</si>
  <si>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</si>
  <si>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</si>
  <si>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</si>
  <si>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</si>
  <si>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</si>
  <si>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</si>
  <si>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</si>
  <si>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</si>
  <si>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</si>
  <si>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</si>
  <si>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</si>
  <si>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</si>
  <si>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</si>
  <si>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</si>
  <si>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</si>
  <si>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</si>
  <si>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</si>
  <si>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</si>
  <si>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</si>
  <si>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</si>
  <si>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</si>
  <si>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</si>
  <si>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</si>
  <si>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</si>
  <si>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</si>
  <si>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</si>
  <si>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</si>
  <si>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</si>
  <si>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</si>
  <si>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</si>
  <si>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</si>
  <si>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</si>
  <si>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</si>
  <si>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</si>
  <si>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</si>
  <si>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</si>
  <si>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</si>
  <si>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</si>
  <si>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</si>
  <si>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</si>
  <si>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</si>
  <si>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</si>
  <si>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</si>
  <si>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</si>
  <si>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</si>
  <si>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</si>
  <si>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</si>
  <si>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</si>
  <si>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</si>
  <si>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</si>
  <si>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</si>
  <si>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</si>
  <si>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</si>
  <si>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</si>
  <si>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</si>
  <si>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</si>
  <si>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</si>
  <si>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</si>
  <si>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</si>
  <si>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</si>
  <si>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</si>
  <si>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</si>
  <si>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</si>
  <si>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</si>
  <si>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</si>
  <si>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</si>
  <si>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</si>
  <si>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</si>
  <si>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</si>
  <si>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</si>
  <si>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</si>
  <si>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</si>
  <si>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</si>
  <si>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</si>
  <si>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</si>
  <si>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</si>
  <si>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</si>
  <si>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</si>
  <si>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</si>
  <si>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</si>
  <si>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</si>
  <si>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</si>
  <si>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</si>
  <si>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</si>
  <si>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</si>
  <si>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</si>
  <si>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</si>
  <si>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</si>
  <si>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</si>
  <si>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</si>
  <si>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</si>
  <si>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</si>
  <si>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</si>
  <si>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</si>
  <si>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</si>
  <si>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</si>
  <si>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</si>
  <si>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</si>
  <si>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</si>
  <si>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</si>
  <si>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</si>
  <si>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</si>
  <si>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</si>
  <si>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</si>
  <si>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</si>
  <si>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</si>
  <si>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</si>
  <si>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</si>
  <si>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</si>
  <si>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</si>
  <si>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</si>
  <si>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</si>
  <si>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</si>
  <si>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</si>
  <si>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</si>
  <si>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</si>
  <si>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</si>
  <si>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</si>
  <si>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</si>
  <si>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</si>
  <si>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</si>
  <si>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</si>
  <si>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</si>
  <si>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</si>
  <si>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</si>
  <si>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</si>
  <si>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</si>
  <si>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</si>
  <si>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</si>
  <si>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</si>
  <si>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</si>
  <si>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</si>
  <si>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</si>
  <si>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</si>
  <si>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</si>
  <si>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</si>
  <si>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</si>
  <si>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</si>
  <si>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</si>
  <si>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</si>
  <si>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</si>
  <si>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</si>
  <si>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</si>
  <si>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</si>
  <si>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</si>
  <si>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</si>
  <si>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</si>
  <si>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</si>
  <si>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</si>
  <si>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</si>
  <si>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</si>
  <si>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</si>
  <si>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</si>
  <si>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</si>
  <si>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</si>
  <si>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</si>
  <si>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</si>
  <si>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</si>
  <si>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</si>
  <si>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</si>
  <si>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</si>
  <si>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</si>
  <si>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</si>
  <si>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</si>
  <si>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</si>
  <si>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</si>
  <si>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</si>
  <si>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</si>
  <si>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</si>
  <si>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</si>
  <si>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</si>
  <si>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</si>
  <si>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</si>
  <si>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</si>
  <si>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</si>
  <si>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</si>
  <si>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</si>
  <si>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</si>
  <si>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</si>
  <si>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</si>
  <si>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</si>
  <si>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</si>
  <si>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</si>
  <si>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</si>
  <si>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</si>
  <si>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</si>
  <si>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</si>
  <si>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</si>
  <si>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</si>
  <si>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</si>
  <si>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</si>
  <si>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</si>
  <si>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</si>
  <si>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</si>
  <si>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</si>
  <si>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</si>
  <si>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</si>
  <si>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</si>
  <si>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</si>
  <si>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</si>
  <si>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</si>
  <si>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</si>
  <si>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</si>
  <si>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</si>
  <si>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</si>
  <si>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</si>
  <si>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</si>
  <si>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</si>
  <si>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</si>
  <si>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</si>
  <si>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</si>
  <si>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</si>
  <si>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</si>
  <si>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</si>
  <si>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</si>
  <si>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</si>
  <si>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</si>
  <si>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</si>
  <si>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</si>
  <si>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</si>
  <si>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</si>
  <si>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</si>
  <si>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</si>
  <si>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</si>
  <si>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</si>
  <si>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</si>
  <si>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</si>
  <si>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</si>
  <si>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</si>
  <si>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</si>
  <si>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</si>
  <si>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</si>
  <si>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</si>
  <si>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</si>
  <si>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</si>
  <si>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</si>
  <si>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</si>
  <si>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</si>
  <si>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</si>
  <si>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</si>
  <si>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</si>
  <si>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</si>
  <si>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</si>
  <si>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</si>
  <si>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</si>
  <si>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</si>
  <si>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</si>
  <si>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</si>
  <si>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</si>
  <si>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</si>
  <si>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</si>
  <si>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</si>
  <si>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</si>
  <si>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</si>
  <si>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</si>
  <si>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</si>
  <si>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</si>
  <si>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</si>
  <si>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</si>
  <si>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</si>
  <si>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</si>
  <si>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</si>
  <si>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</si>
  <si>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</si>
  <si>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</si>
  <si>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</si>
  <si>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</si>
  <si>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</si>
  <si>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</si>
  <si>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</si>
  <si>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</si>
  <si>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</si>
  <si>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</si>
  <si>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</si>
  <si>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</si>
  <si>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</si>
  <si>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</si>
  <si>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</si>
  <si>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</si>
  <si>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</si>
  <si>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</si>
  <si>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</si>
  <si>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</si>
  <si>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</si>
  <si>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</si>
  <si>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</si>
  <si>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</si>
  <si>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</si>
  <si>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</si>
  <si>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</si>
  <si>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</si>
  <si>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</si>
  <si>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</si>
  <si>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</si>
  <si>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</si>
  <si>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</si>
  <si>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</si>
  <si>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</si>
  <si>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</si>
  <si>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</si>
  <si>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</si>
  <si>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</si>
  <si>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</si>
  <si>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</si>
  <si>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</si>
  <si>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</si>
  <si>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</si>
  <si>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</si>
  <si>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</si>
  <si>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</si>
  <si>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</si>
  <si>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</si>
  <si>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</si>
  <si>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</si>
  <si>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</si>
  <si>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</si>
  <si>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</si>
  <si>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</si>
  <si>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</si>
  <si>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</si>
  <si>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</si>
  <si>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</si>
  <si>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</si>
  <si>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</si>
  <si>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</si>
  <si>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</si>
  <si>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</si>
  <si>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</si>
  <si>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</si>
  <si>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</si>
  <si>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</si>
  <si>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</si>
  <si>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</si>
  <si>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</si>
  <si>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</si>
  <si>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</si>
  <si>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</si>
  <si>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</si>
  <si>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</si>
  <si>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</si>
  <si>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</si>
  <si>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</si>
  <si>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</si>
  <si>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</si>
  <si>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</si>
  <si>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</si>
  <si>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</si>
  <si>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</si>
  <si>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</si>
  <si>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</si>
  <si>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</si>
  <si>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</si>
  <si>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</si>
  <si>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</si>
  <si>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</si>
  <si>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</si>
  <si>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</si>
  <si>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</si>
  <si>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</si>
  <si>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</si>
  <si>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</si>
  <si>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</si>
  <si>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</si>
  <si>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</si>
  <si>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</si>
  <si>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</si>
  <si>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</si>
  <si>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</si>
  <si>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</si>
  <si>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</si>
  <si>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</si>
  <si>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</si>
  <si>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</si>
  <si>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</si>
  <si>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</si>
  <si>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</si>
  <si>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</si>
  <si>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</si>
  <si>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</si>
  <si>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</si>
  <si>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</si>
  <si>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</si>
  <si>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</si>
  <si>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</si>
  <si>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</si>
  <si>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</si>
  <si>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</si>
  <si>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</si>
  <si>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</si>
  <si>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</si>
  <si>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</si>
  <si>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</si>
  <si>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</si>
  <si>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</si>
  <si>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</si>
  <si>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</si>
  <si>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</si>
  <si>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</si>
  <si>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</si>
  <si>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</si>
  <si>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</si>
  <si>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</si>
  <si>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</si>
  <si>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</si>
  <si>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</si>
  <si>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</si>
  <si>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</si>
  <si>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</si>
  <si>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</si>
  <si>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</si>
  <si>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</si>
  <si>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</si>
  <si>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</si>
  <si>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</si>
  <si>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</si>
  <si>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</si>
  <si>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</si>
  <si>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</si>
  <si>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</si>
  <si>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</si>
  <si>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</si>
  <si>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</si>
  <si>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</si>
  <si>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</si>
  <si>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</si>
  <si>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</si>
  <si>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</si>
  <si>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</si>
  <si>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</si>
  <si>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</si>
  <si>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</si>
  <si>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</si>
  <si>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</si>
  <si>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</si>
  <si>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</si>
  <si>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</si>
  <si>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</si>
  <si>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</si>
  <si>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</si>
  <si>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</si>
  <si>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</si>
  <si>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</si>
  <si>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</si>
  <si>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</si>
  <si>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</si>
  <si>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</si>
  <si>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</si>
  <si>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</si>
  <si>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</si>
  <si>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</si>
  <si>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</si>
  <si>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</si>
  <si>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</si>
  <si>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</si>
  <si>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</si>
  <si>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</si>
  <si>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</si>
  <si>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</si>
  <si>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</si>
  <si>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</si>
  <si>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</si>
  <si>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</si>
  <si>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</si>
  <si>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</si>
  <si>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</si>
  <si>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</si>
  <si>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</si>
  <si>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</si>
  <si>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</si>
  <si>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</si>
  <si>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</si>
  <si>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</si>
  <si>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</si>
  <si>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</si>
  <si>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</si>
  <si>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</si>
  <si>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</si>
  <si>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</si>
  <si>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</si>
  <si>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</si>
  <si>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</si>
  <si>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</si>
  <si>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</si>
  <si>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</si>
  <si>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</si>
  <si>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</si>
  <si>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</si>
  <si>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</si>
  <si>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</si>
  <si>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</si>
  <si>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</si>
  <si>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</si>
  <si>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</si>
  <si>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</si>
  <si>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</si>
  <si>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</si>
  <si>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</si>
  <si>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</si>
  <si>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</si>
  <si>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</si>
  <si>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</si>
  <si>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</si>
  <si>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</si>
  <si>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</si>
  <si>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</si>
  <si>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</si>
  <si>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</si>
  <si>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</si>
  <si>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</si>
  <si>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</si>
  <si>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</si>
  <si>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</si>
  <si>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</si>
  <si>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</si>
  <si>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</si>
  <si>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</si>
  <si>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</si>
  <si>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</si>
  <si>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</si>
  <si>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</si>
  <si>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</si>
  <si>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</si>
  <si>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</si>
  <si>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</si>
  <si>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</si>
  <si>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</si>
  <si>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</si>
  <si>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</si>
  <si>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</si>
  <si>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</si>
  <si>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</si>
  <si>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</si>
  <si>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</si>
  <si>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</si>
  <si>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</si>
  <si>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</si>
  <si>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</si>
  <si>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</si>
  <si>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</si>
  <si>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</si>
  <si>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</si>
  <si>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</si>
  <si>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</si>
  <si>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</si>
  <si>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</si>
  <si>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</si>
  <si>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</si>
  <si>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</si>
  <si>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</si>
  <si>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</si>
  <si>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</si>
  <si>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</si>
  <si>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</si>
  <si>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</si>
  <si>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</si>
  <si>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</si>
  <si>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</si>
  <si>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</si>
  <si>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</si>
  <si>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</si>
  <si>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</si>
  <si>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</si>
  <si>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</si>
  <si>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</si>
  <si>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</si>
  <si>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</si>
  <si>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</si>
  <si>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</si>
  <si>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</si>
  <si>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</si>
  <si>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</si>
  <si>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</si>
  <si>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</si>
  <si>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</si>
  <si>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</si>
  <si>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</si>
  <si>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</si>
  <si>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</si>
  <si>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</si>
  <si>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</si>
  <si>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</si>
  <si>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</si>
  <si>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</si>
  <si>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</si>
  <si>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</si>
  <si>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</si>
  <si>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</si>
  <si>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</si>
  <si>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</si>
  <si>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</si>
  <si>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</si>
  <si>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</si>
  <si>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</si>
  <si>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</si>
  <si>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</si>
  <si>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</si>
  <si>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</si>
  <si>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</si>
  <si>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</si>
  <si>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</si>
  <si>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</si>
  <si>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</si>
  <si>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</si>
  <si>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</si>
  <si>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</si>
  <si>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</si>
  <si>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</si>
  <si>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</si>
  <si>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</si>
  <si>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</si>
  <si>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</si>
  <si>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</si>
  <si>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</si>
  <si>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</si>
  <si>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</si>
  <si>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</si>
  <si>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</si>
  <si>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</si>
  <si>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</si>
  <si>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</si>
  <si>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</si>
  <si>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</si>
  <si>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</si>
  <si>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</si>
  <si>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</si>
  <si>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</si>
  <si>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</si>
  <si>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</si>
  <si>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</si>
  <si>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</si>
  <si>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</si>
  <si>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</si>
  <si>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</si>
  <si>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</si>
  <si>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</si>
  <si>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</si>
  <si>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</si>
  <si>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</si>
  <si>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</si>
  <si>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</si>
  <si>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</si>
  <si>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</si>
  <si>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</si>
  <si>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</si>
  <si>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</si>
  <si>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</si>
  <si>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</si>
  <si>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</si>
  <si>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</si>
  <si>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</si>
  <si>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</si>
  <si>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</si>
  <si>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</si>
  <si>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</si>
  <si>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</si>
  <si>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</si>
  <si>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</si>
  <si>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</si>
  <si>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</si>
  <si>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</si>
  <si>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</si>
  <si>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</si>
  <si>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</si>
  <si>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</si>
  <si>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</si>
  <si>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</si>
  <si>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</si>
  <si>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</si>
  <si>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</si>
  <si>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</si>
  <si>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</si>
  <si>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</si>
  <si>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</si>
  <si>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</si>
  <si>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</si>
  <si>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</si>
  <si>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</si>
  <si>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</si>
  <si>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</si>
  <si>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</si>
  <si>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</si>
  <si>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</si>
  <si>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</si>
  <si>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</si>
  <si>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</si>
  <si>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</si>
  <si>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</si>
  <si>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</si>
  <si>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</si>
  <si>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</si>
  <si>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</si>
  <si>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</si>
  <si>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</si>
  <si>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</si>
  <si>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</si>
  <si>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</si>
  <si>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</si>
  <si>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</si>
  <si>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</si>
  <si>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</si>
  <si>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</si>
  <si>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</si>
  <si>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</si>
  <si>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</si>
  <si>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</si>
  <si>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</si>
  <si>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</si>
  <si>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</si>
  <si>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</si>
  <si>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</si>
  <si>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</si>
  <si>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</si>
  <si>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</si>
  <si>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</si>
  <si>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</si>
  <si>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</si>
  <si>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</si>
  <si>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</si>
  <si>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</si>
  <si>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</si>
  <si>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</si>
  <si>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</si>
  <si>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</si>
  <si>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</si>
  <si>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</si>
  <si>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</si>
  <si>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</si>
  <si>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</si>
  <si>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</si>
  <si>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</si>
  <si>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</si>
  <si>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</si>
  <si>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</si>
  <si>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</si>
  <si>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</si>
  <si>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</si>
  <si>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</si>
  <si>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</si>
  <si>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</si>
  <si>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</si>
  <si>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</si>
  <si>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</si>
  <si>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</si>
  <si>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</si>
  <si>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</si>
  <si>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</si>
  <si>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</si>
  <si>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</si>
  <si>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</si>
  <si>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</si>
  <si>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</si>
  <si>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</si>
  <si>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</si>
  <si>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</si>
  <si>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</si>
  <si>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</si>
  <si>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</si>
  <si>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</si>
  <si>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</si>
  <si>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</si>
  <si>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</si>
  <si>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</si>
  <si>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</si>
  <si>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</si>
  <si>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</si>
  <si>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</si>
  <si>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</si>
  <si>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</si>
  <si>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</si>
  <si>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</si>
  <si>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</si>
  <si>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</si>
  <si>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</si>
  <si>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</si>
  <si>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</si>
  <si>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</si>
  <si>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</si>
  <si>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</si>
  <si>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</si>
  <si>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</si>
  <si>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</si>
  <si>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</si>
  <si>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</si>
  <si>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</si>
  <si>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</si>
  <si>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</si>
  <si>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</si>
  <si>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</si>
  <si>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</si>
  <si>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</si>
  <si>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</si>
  <si>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</si>
  <si>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</si>
  <si>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</si>
  <si>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</si>
  <si>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</si>
  <si>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</si>
  <si>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</si>
  <si>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</si>
  <si>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</si>
  <si>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</si>
  <si>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</si>
  <si>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</si>
  <si>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</si>
  <si>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</si>
  <si>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</si>
  <si>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</si>
  <si>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</si>
  <si>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</si>
  <si>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</si>
  <si>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</si>
  <si>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</si>
  <si>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</si>
  <si>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</si>
  <si>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</si>
  <si>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</si>
  <si>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</si>
  <si>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</si>
  <si>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</si>
  <si>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</si>
  <si>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</si>
  <si>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</si>
  <si>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</si>
  <si>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</si>
  <si>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</si>
  <si>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</si>
  <si>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</si>
  <si>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</si>
  <si>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</si>
  <si>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</si>
  <si>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</si>
  <si>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</si>
  <si>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</si>
  <si>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</si>
  <si>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</si>
  <si>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</si>
  <si>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</si>
  <si>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</si>
  <si>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</si>
  <si>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</si>
  <si>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</si>
  <si>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</si>
  <si>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</si>
  <si>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</si>
  <si>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</si>
  <si>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</si>
  <si>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</si>
  <si>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</si>
  <si>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</si>
  <si>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</si>
  <si>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</si>
  <si>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</si>
  <si>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</si>
  <si>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</si>
  <si>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</si>
  <si>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</si>
  <si>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</si>
  <si>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</si>
  <si>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</si>
  <si>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</si>
  <si>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</si>
  <si>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</si>
  <si>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</si>
  <si>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</si>
  <si>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</si>
  <si>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</si>
  <si>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</si>
  <si>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</si>
  <si>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</si>
  <si>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</si>
  <si>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</si>
  <si>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</si>
  <si>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</si>
  <si>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</si>
  <si>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</si>
  <si>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</si>
  <si>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</si>
  <si>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</si>
  <si>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</si>
  <si>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</si>
  <si>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</si>
  <si>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</si>
  <si>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</si>
  <si>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</si>
  <si>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</si>
  <si>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</si>
  <si>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</si>
  <si>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</si>
  <si>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</si>
  <si>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</si>
  <si>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</si>
  <si>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</si>
  <si>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</si>
  <si>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</si>
  <si>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</si>
  <si>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</si>
  <si>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</si>
  <si>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</si>
  <si>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</si>
  <si>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</si>
  <si>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</si>
  <si>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</si>
  <si>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</si>
  <si>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</si>
  <si>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</si>
  <si>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</si>
  <si>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</si>
  <si>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</si>
  <si>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</si>
  <si>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</si>
  <si>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</si>
  <si>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</si>
  <si>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</si>
  <si>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</si>
  <si>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</si>
  <si>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</si>
  <si>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</si>
  <si>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</si>
  <si>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</si>
  <si>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</si>
  <si>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</si>
  <si>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</si>
  <si>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</si>
  <si>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</si>
  <si>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</si>
  <si>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</si>
  <si>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</si>
  <si>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</si>
  <si>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</si>
  <si>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</si>
  <si>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</si>
  <si>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</si>
  <si>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</si>
  <si>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</si>
  <si>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</si>
  <si>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</si>
  <si>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</si>
  <si>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</si>
  <si>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</si>
  <si>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</si>
  <si>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</si>
  <si>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</si>
  <si>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</si>
  <si>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</si>
  <si>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</si>
  <si>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</si>
  <si>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</si>
  <si>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</si>
  <si>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</si>
  <si>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</si>
  <si>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</si>
  <si>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</si>
  <si>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</si>
  <si>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</si>
  <si>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</si>
  <si>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</si>
  <si>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</si>
  <si>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</si>
  <si>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</si>
  <si>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</si>
  <si>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</si>
  <si>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revenue</t>
  </si>
  <si>
    <t>rata-rata nilai transaksi</t>
  </si>
  <si>
    <t>Transaksi tertinggi</t>
  </si>
  <si>
    <t>Transaksi terendah</t>
  </si>
  <si>
    <t xml:space="preserve">Total jumlah transaksi </t>
  </si>
  <si>
    <t>Total revenue electronic</t>
  </si>
  <si>
    <t>Total revenue Clothing</t>
  </si>
  <si>
    <t>Total revenue Beauty</t>
  </si>
  <si>
    <t>jumlah transaksi female</t>
  </si>
  <si>
    <t>jumlah transaksi male</t>
  </si>
  <si>
    <t>Matric</t>
  </si>
  <si>
    <t>value</t>
  </si>
  <si>
    <t>matric</t>
  </si>
  <si>
    <t>Row Labels</t>
  </si>
  <si>
    <t>Grand Total</t>
  </si>
  <si>
    <t>Sum of Total Amount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</si>
  <si>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</si>
  <si>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</si>
  <si>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</si>
  <si>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</si>
  <si>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</si>
  <si>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</si>
  <si>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</si>
  <si>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</si>
  <si>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</si>
  <si>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</si>
  <si>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</si>
  <si>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</si>
  <si>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</si>
  <si>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kategori produk</t>
  </si>
  <si>
    <t>total revenue</t>
  </si>
  <si>
    <t>(All)</t>
  </si>
  <si>
    <t>customer ID</t>
  </si>
  <si>
    <t>KEY INSIGHTS</t>
  </si>
  <si>
    <t xml:space="preserve">  </t>
  </si>
  <si>
    <t>Electronics menjadi kategori dengan revenue tertinggi</t>
  </si>
  <si>
    <t>- Penjualan tertinggi terjadi di bulan Mei (53.150) dan terendah di September (23.620)</t>
  </si>
  <si>
    <t>INSIGHTS</t>
  </si>
  <si>
    <t>Retail Sales Analysis 2023</t>
  </si>
  <si>
    <t>total transaksi</t>
  </si>
  <si>
    <t>avg transaksi</t>
  </si>
  <si>
    <t>bulan terbaik</t>
  </si>
  <si>
    <t>Electronics = kategori revenue tertinggi</t>
  </si>
  <si>
    <t>Mei = bulan penjualan terbaik</t>
  </si>
  <si>
    <t>Tidak ada repeat customer → perlu strategi retensi</t>
  </si>
  <si>
    <t>Female dominan di Beauty &amp; Clothing</t>
  </si>
  <si>
    <t>Female mendominasi pembelian Beauty dan clothing</t>
  </si>
  <si>
    <t xml:space="preserve"> sedangkan Male lebih tinggi di Electronics </t>
  </si>
  <si>
    <t>Dataset terdiri dari 1.000 transaksi unik dengan</t>
  </si>
  <si>
    <t xml:space="preserve"> 1.000 customer berbeda (tidak ada repeat customer)</t>
  </si>
  <si>
    <t>(156.905) diikuti Clothing (155.580) dan Beauty (143.515)</t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</si>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</sst>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0" fontId="0" fillId="0" borderId="1" xfId="0" applyBorder="1"/>
    <xf numFmtId="43" fontId="0" fillId="0" borderId="1" xfId="1" applyFont="1" applyBorder="1"/>
    <xf numFmtId="0" fontId="0" fillId="0" borderId="0" xfId="0" applyBorder="1"/>
    <xf numFmtId="0" fontId="0" fillId="3" borderId="0" xfId="0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1" xfId="0" applyNumberFormat="1" applyFont="1" applyFill="1" applyBorder="1"/>
    <xf numFmtId="0" fontId="0" fillId="3" borderId="1" xfId="0" applyNumberFormat="1" applyFont="1" applyFill="1" applyBorder="1"/>
    <xf numFmtId="0" fontId="0" fillId="4" borderId="0" xfId="0" applyNumberFormat="1" applyFont="1" applyFill="1" applyBorder="1"/>
    <xf numFmtId="0" fontId="0" fillId="3" borderId="0" xfId="0" applyNumberFormat="1" applyFont="1" applyFill="1" applyBorder="1"/>
    <xf numFmtId="0" fontId="0" fillId="5" borderId="0" xfId="0" applyNumberFormat="1" applyFill="1"/>
    <xf numFmtId="0" fontId="0" fillId="6" borderId="0" xfId="0" applyNumberFormat="1" applyFill="1"/>
    <xf numFmtId="43" fontId="0" fillId="0" borderId="0" xfId="0" applyNumberFormat="1"/>
    <xf numFmtId="0" fontId="0" fillId="7" borderId="0" xfId="0" applyFill="1"/>
    <xf numFmtId="0" fontId="3" fillId="3" borderId="0" xfId="0" applyFont="1" applyFill="1"/>
    <xf numFmtId="0" fontId="3" fillId="7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0" xfId="0" applyFont="1" applyFill="1" applyAlignment="1">
      <alignment horizontal="center"/>
    </xf>
    <xf numFmtId="43" fontId="0" fillId="3" borderId="0" xfId="0" applyNumberFormat="1" applyFill="1" applyBorder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3" borderId="1" xfId="0" applyNumberFormat="1" applyFill="1" applyBorder="1"/>
    <xf numFmtId="43" fontId="0" fillId="3" borderId="1" xfId="0" applyNumberFormat="1" applyFill="1" applyBorder="1"/>
    <xf numFmtId="0" fontId="0" fillId="3" borderId="1" xfId="0" applyFill="1" applyBorder="1"/>
  </cellXfs>
  <cellStyles count="2">
    <cellStyle name="Comma" xfId="1" builtinId="3"/>
    <cellStyle name="Normal" xfId="0" builtinId="0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rgb="FFFF0000"/>
        </patternFill>
      </fill>
    </dxf>
    <dxf>
      <numFmt numFmtId="35" formatCode="_(* #,##0.00_);_(* \(#,##0.00\);_(* &quot;-&quot;??_);_(@_)"/>
    </dxf>
    <dxf>
      <fill>
        <patternFill patternType="solid">
          <bgColor rgb="FFFF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rgb="FFFF0000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excel.xlsx]Trend!PivotTable8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Tren Revenue Bulanan 2023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Trend!$B$4:$B$16</c:f>
              <c:numCache>
                <c:formatCode>_(* #,##0.00_);_(* \(#,##0.00\);_(* "-"??_);_(@_)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6-4526-938A-FA63461D6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34015"/>
        <c:axId val="2127032575"/>
      </c:lineChart>
      <c:catAx>
        <c:axId val="212703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32575"/>
        <c:crosses val="autoZero"/>
        <c:auto val="1"/>
        <c:lblAlgn val="ctr"/>
        <c:lblOffset val="100"/>
        <c:noMultiLvlLbl val="0"/>
      </c:catAx>
      <c:valAx>
        <c:axId val="21270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3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excel.xlsx]Trend!PivotTable8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Tren Revenue Bulanan 2023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Trend!$B$4:$B$16</c:f>
              <c:numCache>
                <c:formatCode>_(* #,##0.00_);_(* \(#,##0.00\);_(* "-"??_);_(@_)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CEA-A2D9-C3D40C851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34015"/>
        <c:axId val="2127032575"/>
      </c:lineChart>
      <c:catAx>
        <c:axId val="212703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32575"/>
        <c:crosses val="autoZero"/>
        <c:auto val="1"/>
        <c:lblAlgn val="ctr"/>
        <c:lblOffset val="100"/>
        <c:noMultiLvlLbl val="0"/>
      </c:catAx>
      <c:valAx>
        <c:axId val="21270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3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excel.xlsx]Dashboard!PivotTable10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Dashboard!$B$6:$B$7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Dashboard!$B$8:$B$11</c:f>
              <c:numCache>
                <c:formatCode>General</c:formatCode>
                <c:ptCount val="3"/>
                <c:pt idx="0">
                  <c:v>76735</c:v>
                </c:pt>
                <c:pt idx="1">
                  <c:v>81275</c:v>
                </c:pt>
                <c:pt idx="2">
                  <c:v>74830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2-4097-81E2-F278D186DCB8}"/>
            </c:ext>
          </c:extLst>
        </c:ser>
        <c:ser>
          <c:idx val="1"/>
          <c:order val="1"/>
          <c:tx>
            <c:strRef>
              <c:f>Dashboard!$C$6:$C$7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Dashboard!$A$8:$A$11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Dashboard!$C$8:$C$11</c:f>
              <c:numCache>
                <c:formatCode>General</c:formatCode>
                <c:ptCount val="3"/>
                <c:pt idx="0">
                  <c:v>80170</c:v>
                </c:pt>
                <c:pt idx="1">
                  <c:v>74305</c:v>
                </c:pt>
                <c:pt idx="2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2-4097-81E2-F278D186D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864975"/>
        <c:axId val="384862575"/>
      </c:barChart>
      <c:catAx>
        <c:axId val="38486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62575"/>
        <c:crosses val="autoZero"/>
        <c:auto val="1"/>
        <c:lblAlgn val="ctr"/>
        <c:lblOffset val="100"/>
        <c:noMultiLvlLbl val="0"/>
      </c:catAx>
      <c:valAx>
        <c:axId val="3848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6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166687</xdr:rowOff>
    </xdr:from>
    <xdr:to>
      <xdr:col>11</xdr:col>
      <xdr:colOff>295275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A450B-3114-7E39-63AB-4CCCC2270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113869</xdr:colOff>
      <xdr:row>1</xdr:row>
      <xdr:rowOff>177757</xdr:rowOff>
    </xdr:from>
    <xdr:to>
      <xdr:col>11</xdr:col>
      <xdr:colOff>407077</xdr:colOff>
      <xdr:row>16</xdr:row>
      <xdr:rowOff>158511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351B2-2BB1-4C0C-8E1E-BC7282866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91315</xdr:colOff>
      <xdr:row>17</xdr:row>
      <xdr:rowOff>9918</xdr:rowOff>
    </xdr:from>
    <xdr:to>
      <xdr:col>11</xdr:col>
      <xdr:colOff>420360</xdr:colOff>
      <xdr:row>31</xdr:row>
      <xdr:rowOff>108159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927318-147F-48BC-8C1A-4F70B5C06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30.429203935186" createdVersion="8" refreshedVersion="8" minRefreshableVersion="3" recordCount="1000" xr:uid="{8CFA049E-B4A9-42BF-9276-D37082B5D957}">
  <cacheSource type="worksheet">
    <worksheetSource name="rawa_data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9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x v="0"/>
    <n v="3"/>
    <n v="50"/>
    <n v="150"/>
  </r>
  <r>
    <n v="2"/>
    <x v="1"/>
    <s v="CUST002"/>
    <x v="1"/>
    <n v="26"/>
    <x v="1"/>
    <n v="2"/>
    <n v="500"/>
    <n v="1000"/>
  </r>
  <r>
    <n v="3"/>
    <x v="2"/>
    <s v="CUST003"/>
    <x v="0"/>
    <n v="50"/>
    <x v="2"/>
    <n v="1"/>
    <n v="30"/>
    <n v="30"/>
  </r>
  <r>
    <n v="4"/>
    <x v="3"/>
    <s v="CUST004"/>
    <x v="0"/>
    <n v="37"/>
    <x v="1"/>
    <n v="1"/>
    <n v="500"/>
    <n v="500"/>
  </r>
  <r>
    <n v="5"/>
    <x v="4"/>
    <s v="CUST005"/>
    <x v="0"/>
    <n v="30"/>
    <x v="0"/>
    <n v="2"/>
    <n v="50"/>
    <n v="100"/>
  </r>
  <r>
    <n v="6"/>
    <x v="5"/>
    <s v="CUST006"/>
    <x v="1"/>
    <n v="45"/>
    <x v="0"/>
    <n v="1"/>
    <n v="30"/>
    <n v="30"/>
  </r>
  <r>
    <n v="7"/>
    <x v="6"/>
    <s v="CUST007"/>
    <x v="0"/>
    <n v="46"/>
    <x v="1"/>
    <n v="2"/>
    <n v="25"/>
    <n v="50"/>
  </r>
  <r>
    <n v="8"/>
    <x v="7"/>
    <s v="CUST008"/>
    <x v="0"/>
    <n v="30"/>
    <x v="2"/>
    <n v="4"/>
    <n v="25"/>
    <n v="100"/>
  </r>
  <r>
    <n v="9"/>
    <x v="8"/>
    <s v="CUST009"/>
    <x v="0"/>
    <n v="63"/>
    <x v="2"/>
    <n v="2"/>
    <n v="300"/>
    <n v="600"/>
  </r>
  <r>
    <n v="10"/>
    <x v="9"/>
    <s v="CUST010"/>
    <x v="1"/>
    <n v="52"/>
    <x v="1"/>
    <n v="4"/>
    <n v="50"/>
    <n v="200"/>
  </r>
  <r>
    <n v="11"/>
    <x v="10"/>
    <s v="CUST011"/>
    <x v="0"/>
    <n v="23"/>
    <x v="1"/>
    <n v="2"/>
    <n v="50"/>
    <n v="100"/>
  </r>
  <r>
    <n v="12"/>
    <x v="11"/>
    <s v="CUST012"/>
    <x v="0"/>
    <n v="35"/>
    <x v="0"/>
    <n v="3"/>
    <n v="25"/>
    <n v="75"/>
  </r>
  <r>
    <n v="13"/>
    <x v="12"/>
    <s v="CUST013"/>
    <x v="0"/>
    <n v="22"/>
    <x v="2"/>
    <n v="3"/>
    <n v="500"/>
    <n v="1500"/>
  </r>
  <r>
    <n v="14"/>
    <x v="13"/>
    <s v="CUST014"/>
    <x v="0"/>
    <n v="64"/>
    <x v="1"/>
    <n v="4"/>
    <n v="30"/>
    <n v="120"/>
  </r>
  <r>
    <n v="15"/>
    <x v="14"/>
    <s v="CUST015"/>
    <x v="1"/>
    <n v="42"/>
    <x v="2"/>
    <n v="4"/>
    <n v="500"/>
    <n v="2000"/>
  </r>
  <r>
    <n v="16"/>
    <x v="15"/>
    <s v="CUST016"/>
    <x v="0"/>
    <n v="19"/>
    <x v="1"/>
    <n v="3"/>
    <n v="500"/>
    <n v="1500"/>
  </r>
  <r>
    <n v="17"/>
    <x v="16"/>
    <s v="CUST017"/>
    <x v="1"/>
    <n v="27"/>
    <x v="1"/>
    <n v="4"/>
    <n v="25"/>
    <n v="100"/>
  </r>
  <r>
    <n v="18"/>
    <x v="17"/>
    <s v="CUST018"/>
    <x v="1"/>
    <n v="47"/>
    <x v="2"/>
    <n v="2"/>
    <n v="25"/>
    <n v="50"/>
  </r>
  <r>
    <n v="19"/>
    <x v="18"/>
    <s v="CUST019"/>
    <x v="1"/>
    <n v="62"/>
    <x v="1"/>
    <n v="2"/>
    <n v="25"/>
    <n v="50"/>
  </r>
  <r>
    <n v="20"/>
    <x v="19"/>
    <s v="CUST020"/>
    <x v="0"/>
    <n v="22"/>
    <x v="1"/>
    <n v="3"/>
    <n v="300"/>
    <n v="900"/>
  </r>
  <r>
    <n v="21"/>
    <x v="20"/>
    <s v="CUST021"/>
    <x v="1"/>
    <n v="50"/>
    <x v="0"/>
    <n v="1"/>
    <n v="500"/>
    <n v="500"/>
  </r>
  <r>
    <n v="22"/>
    <x v="21"/>
    <s v="CUST022"/>
    <x v="0"/>
    <n v="18"/>
    <x v="1"/>
    <n v="2"/>
    <n v="50"/>
    <n v="100"/>
  </r>
  <r>
    <n v="23"/>
    <x v="22"/>
    <s v="CUST023"/>
    <x v="1"/>
    <n v="35"/>
    <x v="1"/>
    <n v="4"/>
    <n v="30"/>
    <n v="120"/>
  </r>
  <r>
    <n v="24"/>
    <x v="23"/>
    <s v="CUST024"/>
    <x v="1"/>
    <n v="49"/>
    <x v="1"/>
    <n v="1"/>
    <n v="300"/>
    <n v="300"/>
  </r>
  <r>
    <n v="25"/>
    <x v="24"/>
    <s v="CUST025"/>
    <x v="1"/>
    <n v="64"/>
    <x v="0"/>
    <n v="1"/>
    <n v="50"/>
    <n v="50"/>
  </r>
  <r>
    <n v="26"/>
    <x v="9"/>
    <s v="CUST026"/>
    <x v="1"/>
    <n v="28"/>
    <x v="2"/>
    <n v="2"/>
    <n v="500"/>
    <n v="1000"/>
  </r>
  <r>
    <n v="27"/>
    <x v="25"/>
    <s v="CUST027"/>
    <x v="1"/>
    <n v="38"/>
    <x v="0"/>
    <n v="2"/>
    <n v="25"/>
    <n v="50"/>
  </r>
  <r>
    <n v="28"/>
    <x v="26"/>
    <s v="CUST028"/>
    <x v="1"/>
    <n v="43"/>
    <x v="0"/>
    <n v="1"/>
    <n v="500"/>
    <n v="500"/>
  </r>
  <r>
    <n v="29"/>
    <x v="27"/>
    <s v="CUST029"/>
    <x v="1"/>
    <n v="42"/>
    <x v="2"/>
    <n v="1"/>
    <n v="30"/>
    <n v="30"/>
  </r>
  <r>
    <n v="30"/>
    <x v="28"/>
    <s v="CUST030"/>
    <x v="1"/>
    <n v="39"/>
    <x v="0"/>
    <n v="3"/>
    <n v="300"/>
    <n v="900"/>
  </r>
  <r>
    <n v="31"/>
    <x v="29"/>
    <s v="CUST031"/>
    <x v="0"/>
    <n v="44"/>
    <x v="2"/>
    <n v="4"/>
    <n v="300"/>
    <n v="1200"/>
  </r>
  <r>
    <n v="32"/>
    <x v="30"/>
    <s v="CUST032"/>
    <x v="0"/>
    <n v="30"/>
    <x v="0"/>
    <n v="3"/>
    <n v="30"/>
    <n v="90"/>
  </r>
  <r>
    <n v="33"/>
    <x v="31"/>
    <s v="CUST033"/>
    <x v="1"/>
    <n v="50"/>
    <x v="2"/>
    <n v="2"/>
    <n v="50"/>
    <n v="100"/>
  </r>
  <r>
    <n v="34"/>
    <x v="32"/>
    <s v="CUST034"/>
    <x v="1"/>
    <n v="51"/>
    <x v="1"/>
    <n v="3"/>
    <n v="50"/>
    <n v="150"/>
  </r>
  <r>
    <n v="35"/>
    <x v="12"/>
    <s v="CUST035"/>
    <x v="1"/>
    <n v="58"/>
    <x v="0"/>
    <n v="3"/>
    <n v="300"/>
    <n v="900"/>
  </r>
  <r>
    <n v="36"/>
    <x v="33"/>
    <s v="CUST036"/>
    <x v="0"/>
    <n v="52"/>
    <x v="0"/>
    <n v="3"/>
    <n v="300"/>
    <n v="900"/>
  </r>
  <r>
    <n v="37"/>
    <x v="29"/>
    <s v="CUST037"/>
    <x v="1"/>
    <n v="18"/>
    <x v="0"/>
    <n v="3"/>
    <n v="25"/>
    <n v="75"/>
  </r>
  <r>
    <n v="38"/>
    <x v="34"/>
    <s v="CUST038"/>
    <x v="0"/>
    <n v="38"/>
    <x v="0"/>
    <n v="4"/>
    <n v="50"/>
    <n v="200"/>
  </r>
  <r>
    <n v="39"/>
    <x v="35"/>
    <s v="CUST039"/>
    <x v="0"/>
    <n v="23"/>
    <x v="1"/>
    <n v="4"/>
    <n v="30"/>
    <n v="120"/>
  </r>
  <r>
    <n v="40"/>
    <x v="36"/>
    <s v="CUST040"/>
    <x v="0"/>
    <n v="45"/>
    <x v="0"/>
    <n v="1"/>
    <n v="50"/>
    <n v="50"/>
  </r>
  <r>
    <n v="41"/>
    <x v="7"/>
    <s v="CUST041"/>
    <x v="0"/>
    <n v="34"/>
    <x v="1"/>
    <n v="2"/>
    <n v="25"/>
    <n v="50"/>
  </r>
  <r>
    <n v="42"/>
    <x v="15"/>
    <s v="CUST042"/>
    <x v="0"/>
    <n v="22"/>
    <x v="1"/>
    <n v="3"/>
    <n v="300"/>
    <n v="900"/>
  </r>
  <r>
    <n v="43"/>
    <x v="37"/>
    <s v="CUST043"/>
    <x v="1"/>
    <n v="48"/>
    <x v="1"/>
    <n v="1"/>
    <n v="300"/>
    <n v="300"/>
  </r>
  <r>
    <n v="44"/>
    <x v="38"/>
    <s v="CUST044"/>
    <x v="1"/>
    <n v="22"/>
    <x v="1"/>
    <n v="1"/>
    <n v="25"/>
    <n v="25"/>
  </r>
  <r>
    <n v="45"/>
    <x v="39"/>
    <s v="CUST045"/>
    <x v="1"/>
    <n v="55"/>
    <x v="2"/>
    <n v="1"/>
    <n v="30"/>
    <n v="30"/>
  </r>
  <r>
    <n v="46"/>
    <x v="40"/>
    <s v="CUST046"/>
    <x v="1"/>
    <n v="20"/>
    <x v="2"/>
    <n v="4"/>
    <n v="300"/>
    <n v="1200"/>
  </r>
  <r>
    <n v="47"/>
    <x v="41"/>
    <s v="CUST047"/>
    <x v="1"/>
    <n v="40"/>
    <x v="0"/>
    <n v="3"/>
    <n v="500"/>
    <n v="1500"/>
  </r>
  <r>
    <n v="48"/>
    <x v="42"/>
    <s v="CUST048"/>
    <x v="0"/>
    <n v="54"/>
    <x v="2"/>
    <n v="3"/>
    <n v="300"/>
    <n v="900"/>
  </r>
  <r>
    <n v="49"/>
    <x v="43"/>
    <s v="CUST049"/>
    <x v="1"/>
    <n v="54"/>
    <x v="2"/>
    <n v="2"/>
    <n v="500"/>
    <n v="1000"/>
  </r>
  <r>
    <n v="50"/>
    <x v="44"/>
    <s v="CUST050"/>
    <x v="1"/>
    <n v="27"/>
    <x v="0"/>
    <n v="3"/>
    <n v="25"/>
    <n v="75"/>
  </r>
  <r>
    <n v="51"/>
    <x v="45"/>
    <s v="CUST051"/>
    <x v="0"/>
    <n v="27"/>
    <x v="0"/>
    <n v="3"/>
    <n v="25"/>
    <n v="75"/>
  </r>
  <r>
    <n v="52"/>
    <x v="46"/>
    <s v="CUST052"/>
    <x v="1"/>
    <n v="36"/>
    <x v="0"/>
    <n v="1"/>
    <n v="300"/>
    <n v="300"/>
  </r>
  <r>
    <n v="53"/>
    <x v="47"/>
    <s v="CUST053"/>
    <x v="0"/>
    <n v="34"/>
    <x v="2"/>
    <n v="2"/>
    <n v="50"/>
    <n v="100"/>
  </r>
  <r>
    <n v="54"/>
    <x v="48"/>
    <s v="CUST054"/>
    <x v="1"/>
    <n v="38"/>
    <x v="2"/>
    <n v="3"/>
    <n v="500"/>
    <n v="1500"/>
  </r>
  <r>
    <n v="55"/>
    <x v="49"/>
    <s v="CUST055"/>
    <x v="0"/>
    <n v="31"/>
    <x v="0"/>
    <n v="4"/>
    <n v="30"/>
    <n v="120"/>
  </r>
  <r>
    <n v="56"/>
    <x v="50"/>
    <s v="CUST056"/>
    <x v="1"/>
    <n v="26"/>
    <x v="1"/>
    <n v="3"/>
    <n v="300"/>
    <n v="900"/>
  </r>
  <r>
    <n v="57"/>
    <x v="51"/>
    <s v="CUST057"/>
    <x v="1"/>
    <n v="63"/>
    <x v="0"/>
    <n v="1"/>
    <n v="30"/>
    <n v="30"/>
  </r>
  <r>
    <n v="58"/>
    <x v="52"/>
    <s v="CUST058"/>
    <x v="0"/>
    <n v="18"/>
    <x v="1"/>
    <n v="4"/>
    <n v="300"/>
    <n v="1200"/>
  </r>
  <r>
    <n v="59"/>
    <x v="53"/>
    <s v="CUST059"/>
    <x v="0"/>
    <n v="62"/>
    <x v="1"/>
    <n v="1"/>
    <n v="50"/>
    <n v="50"/>
  </r>
  <r>
    <n v="60"/>
    <x v="54"/>
    <s v="CUST060"/>
    <x v="0"/>
    <n v="30"/>
    <x v="0"/>
    <n v="3"/>
    <n v="50"/>
    <n v="150"/>
  </r>
  <r>
    <n v="61"/>
    <x v="55"/>
    <s v="CUST061"/>
    <x v="0"/>
    <n v="21"/>
    <x v="0"/>
    <n v="4"/>
    <n v="50"/>
    <n v="200"/>
  </r>
  <r>
    <n v="62"/>
    <x v="56"/>
    <s v="CUST062"/>
    <x v="0"/>
    <n v="18"/>
    <x v="0"/>
    <n v="2"/>
    <n v="50"/>
    <n v="100"/>
  </r>
  <r>
    <n v="63"/>
    <x v="57"/>
    <s v="CUST063"/>
    <x v="0"/>
    <n v="57"/>
    <x v="2"/>
    <n v="2"/>
    <n v="25"/>
    <n v="50"/>
  </r>
  <r>
    <n v="64"/>
    <x v="58"/>
    <s v="CUST064"/>
    <x v="0"/>
    <n v="49"/>
    <x v="1"/>
    <n v="4"/>
    <n v="25"/>
    <n v="100"/>
  </r>
  <r>
    <n v="65"/>
    <x v="59"/>
    <s v="CUST065"/>
    <x v="0"/>
    <n v="51"/>
    <x v="2"/>
    <n v="4"/>
    <n v="500"/>
    <n v="2000"/>
  </r>
  <r>
    <n v="66"/>
    <x v="60"/>
    <s v="CUST066"/>
    <x v="1"/>
    <n v="45"/>
    <x v="2"/>
    <n v="1"/>
    <n v="30"/>
    <n v="30"/>
  </r>
  <r>
    <n v="67"/>
    <x v="61"/>
    <s v="CUST067"/>
    <x v="1"/>
    <n v="48"/>
    <x v="0"/>
    <n v="4"/>
    <n v="300"/>
    <n v="1200"/>
  </r>
  <r>
    <n v="68"/>
    <x v="48"/>
    <s v="CUST068"/>
    <x v="0"/>
    <n v="25"/>
    <x v="2"/>
    <n v="1"/>
    <n v="300"/>
    <n v="300"/>
  </r>
  <r>
    <n v="69"/>
    <x v="17"/>
    <s v="CUST069"/>
    <x v="1"/>
    <n v="56"/>
    <x v="0"/>
    <n v="3"/>
    <n v="25"/>
    <n v="75"/>
  </r>
  <r>
    <n v="70"/>
    <x v="62"/>
    <s v="CUST070"/>
    <x v="1"/>
    <n v="43"/>
    <x v="1"/>
    <n v="1"/>
    <n v="300"/>
    <n v="300"/>
  </r>
  <r>
    <n v="71"/>
    <x v="37"/>
    <s v="CUST071"/>
    <x v="1"/>
    <n v="51"/>
    <x v="0"/>
    <n v="4"/>
    <n v="25"/>
    <n v="100"/>
  </r>
  <r>
    <n v="72"/>
    <x v="29"/>
    <s v="CUST072"/>
    <x v="1"/>
    <n v="20"/>
    <x v="2"/>
    <n v="4"/>
    <n v="500"/>
    <n v="2000"/>
  </r>
  <r>
    <n v="73"/>
    <x v="63"/>
    <s v="CUST073"/>
    <x v="0"/>
    <n v="29"/>
    <x v="2"/>
    <n v="3"/>
    <n v="30"/>
    <n v="90"/>
  </r>
  <r>
    <n v="74"/>
    <x v="64"/>
    <s v="CUST074"/>
    <x v="1"/>
    <n v="18"/>
    <x v="0"/>
    <n v="4"/>
    <n v="500"/>
    <n v="2000"/>
  </r>
  <r>
    <n v="75"/>
    <x v="65"/>
    <s v="CUST075"/>
    <x v="0"/>
    <n v="61"/>
    <x v="0"/>
    <n v="4"/>
    <n v="50"/>
    <n v="200"/>
  </r>
  <r>
    <n v="76"/>
    <x v="66"/>
    <s v="CUST076"/>
    <x v="1"/>
    <n v="22"/>
    <x v="2"/>
    <n v="2"/>
    <n v="50"/>
    <n v="100"/>
  </r>
  <r>
    <n v="77"/>
    <x v="67"/>
    <s v="CUST077"/>
    <x v="1"/>
    <n v="47"/>
    <x v="1"/>
    <n v="2"/>
    <n v="50"/>
    <n v="100"/>
  </r>
  <r>
    <n v="78"/>
    <x v="68"/>
    <s v="CUST078"/>
    <x v="1"/>
    <n v="47"/>
    <x v="1"/>
    <n v="3"/>
    <n v="500"/>
    <n v="1500"/>
  </r>
  <r>
    <n v="79"/>
    <x v="69"/>
    <s v="CUST079"/>
    <x v="0"/>
    <n v="34"/>
    <x v="0"/>
    <n v="1"/>
    <n v="300"/>
    <n v="300"/>
  </r>
  <r>
    <n v="80"/>
    <x v="70"/>
    <s v="CUST080"/>
    <x v="1"/>
    <n v="64"/>
    <x v="1"/>
    <n v="2"/>
    <n v="30"/>
    <n v="60"/>
  </r>
  <r>
    <n v="81"/>
    <x v="71"/>
    <s v="CUST081"/>
    <x v="0"/>
    <n v="40"/>
    <x v="2"/>
    <n v="1"/>
    <n v="50"/>
    <n v="50"/>
  </r>
  <r>
    <n v="82"/>
    <x v="24"/>
    <s v="CUST082"/>
    <x v="1"/>
    <n v="32"/>
    <x v="0"/>
    <n v="4"/>
    <n v="50"/>
    <n v="200"/>
  </r>
  <r>
    <n v="83"/>
    <x v="72"/>
    <s v="CUST083"/>
    <x v="0"/>
    <n v="54"/>
    <x v="2"/>
    <n v="2"/>
    <n v="50"/>
    <n v="100"/>
  </r>
  <r>
    <n v="84"/>
    <x v="73"/>
    <s v="CUST084"/>
    <x v="1"/>
    <n v="38"/>
    <x v="2"/>
    <n v="3"/>
    <n v="30"/>
    <n v="90"/>
  </r>
  <r>
    <n v="85"/>
    <x v="74"/>
    <s v="CUST085"/>
    <x v="0"/>
    <n v="31"/>
    <x v="1"/>
    <n v="3"/>
    <n v="50"/>
    <n v="150"/>
  </r>
  <r>
    <n v="86"/>
    <x v="75"/>
    <s v="CUST086"/>
    <x v="0"/>
    <n v="19"/>
    <x v="0"/>
    <n v="3"/>
    <n v="30"/>
    <n v="90"/>
  </r>
  <r>
    <n v="87"/>
    <x v="64"/>
    <s v="CUST087"/>
    <x v="1"/>
    <n v="28"/>
    <x v="0"/>
    <n v="2"/>
    <n v="50"/>
    <n v="100"/>
  </r>
  <r>
    <n v="88"/>
    <x v="76"/>
    <s v="CUST088"/>
    <x v="0"/>
    <n v="56"/>
    <x v="1"/>
    <n v="1"/>
    <n v="500"/>
    <n v="500"/>
  </r>
  <r>
    <n v="89"/>
    <x v="77"/>
    <s v="CUST089"/>
    <x v="1"/>
    <n v="55"/>
    <x v="2"/>
    <n v="4"/>
    <n v="500"/>
    <n v="2000"/>
  </r>
  <r>
    <n v="90"/>
    <x v="4"/>
    <s v="CUST090"/>
    <x v="1"/>
    <n v="51"/>
    <x v="2"/>
    <n v="1"/>
    <n v="30"/>
    <n v="30"/>
  </r>
  <r>
    <n v="91"/>
    <x v="66"/>
    <s v="CUST091"/>
    <x v="1"/>
    <n v="55"/>
    <x v="2"/>
    <n v="1"/>
    <n v="500"/>
    <n v="500"/>
  </r>
  <r>
    <n v="92"/>
    <x v="78"/>
    <s v="CUST092"/>
    <x v="1"/>
    <n v="51"/>
    <x v="2"/>
    <n v="4"/>
    <n v="30"/>
    <n v="120"/>
  </r>
  <r>
    <n v="93"/>
    <x v="37"/>
    <s v="CUST093"/>
    <x v="1"/>
    <n v="35"/>
    <x v="0"/>
    <n v="4"/>
    <n v="500"/>
    <n v="2000"/>
  </r>
  <r>
    <n v="94"/>
    <x v="79"/>
    <s v="CUST094"/>
    <x v="1"/>
    <n v="47"/>
    <x v="0"/>
    <n v="2"/>
    <n v="500"/>
    <n v="1000"/>
  </r>
  <r>
    <n v="95"/>
    <x v="0"/>
    <s v="CUST095"/>
    <x v="1"/>
    <n v="32"/>
    <x v="1"/>
    <n v="2"/>
    <n v="30"/>
    <n v="60"/>
  </r>
  <r>
    <n v="96"/>
    <x v="80"/>
    <s v="CUST096"/>
    <x v="1"/>
    <n v="44"/>
    <x v="1"/>
    <n v="2"/>
    <n v="300"/>
    <n v="600"/>
  </r>
  <r>
    <n v="97"/>
    <x v="81"/>
    <s v="CUST097"/>
    <x v="1"/>
    <n v="51"/>
    <x v="0"/>
    <n v="2"/>
    <n v="500"/>
    <n v="1000"/>
  </r>
  <r>
    <n v="98"/>
    <x v="26"/>
    <s v="CUST098"/>
    <x v="1"/>
    <n v="55"/>
    <x v="0"/>
    <n v="2"/>
    <n v="50"/>
    <n v="100"/>
  </r>
  <r>
    <n v="99"/>
    <x v="82"/>
    <s v="CUST099"/>
    <x v="1"/>
    <n v="50"/>
    <x v="2"/>
    <n v="4"/>
    <n v="300"/>
    <n v="1200"/>
  </r>
  <r>
    <n v="100"/>
    <x v="83"/>
    <s v="CUST100"/>
    <x v="0"/>
    <n v="41"/>
    <x v="2"/>
    <n v="1"/>
    <n v="30"/>
    <n v="30"/>
  </r>
  <r>
    <n v="101"/>
    <x v="84"/>
    <s v="CUST101"/>
    <x v="0"/>
    <n v="32"/>
    <x v="1"/>
    <n v="2"/>
    <n v="300"/>
    <n v="600"/>
  </r>
  <r>
    <n v="102"/>
    <x v="85"/>
    <s v="CUST102"/>
    <x v="1"/>
    <n v="47"/>
    <x v="0"/>
    <n v="2"/>
    <n v="25"/>
    <n v="50"/>
  </r>
  <r>
    <n v="103"/>
    <x v="13"/>
    <s v="CUST103"/>
    <x v="1"/>
    <n v="59"/>
    <x v="1"/>
    <n v="1"/>
    <n v="25"/>
    <n v="25"/>
  </r>
  <r>
    <n v="104"/>
    <x v="86"/>
    <s v="CUST104"/>
    <x v="1"/>
    <n v="34"/>
    <x v="0"/>
    <n v="2"/>
    <n v="500"/>
    <n v="1000"/>
  </r>
  <r>
    <n v="105"/>
    <x v="87"/>
    <s v="CUST105"/>
    <x v="1"/>
    <n v="22"/>
    <x v="2"/>
    <n v="1"/>
    <n v="500"/>
    <n v="500"/>
  </r>
  <r>
    <n v="106"/>
    <x v="88"/>
    <s v="CUST106"/>
    <x v="1"/>
    <n v="46"/>
    <x v="1"/>
    <n v="1"/>
    <n v="50"/>
    <n v="50"/>
  </r>
  <r>
    <n v="107"/>
    <x v="89"/>
    <s v="CUST107"/>
    <x v="1"/>
    <n v="21"/>
    <x v="1"/>
    <n v="4"/>
    <n v="300"/>
    <n v="1200"/>
  </r>
  <r>
    <n v="108"/>
    <x v="90"/>
    <s v="CUST108"/>
    <x v="1"/>
    <n v="27"/>
    <x v="0"/>
    <n v="3"/>
    <n v="25"/>
    <n v="75"/>
  </r>
  <r>
    <n v="109"/>
    <x v="91"/>
    <s v="CUST109"/>
    <x v="1"/>
    <n v="34"/>
    <x v="2"/>
    <n v="4"/>
    <n v="500"/>
    <n v="2000"/>
  </r>
  <r>
    <n v="110"/>
    <x v="86"/>
    <s v="CUST110"/>
    <x v="0"/>
    <n v="27"/>
    <x v="1"/>
    <n v="3"/>
    <n v="300"/>
    <n v="900"/>
  </r>
  <r>
    <n v="111"/>
    <x v="90"/>
    <s v="CUST111"/>
    <x v="1"/>
    <n v="34"/>
    <x v="2"/>
    <n v="3"/>
    <n v="500"/>
    <n v="1500"/>
  </r>
  <r>
    <n v="112"/>
    <x v="92"/>
    <s v="CUST112"/>
    <x v="0"/>
    <n v="37"/>
    <x v="1"/>
    <n v="3"/>
    <n v="500"/>
    <n v="1500"/>
  </r>
  <r>
    <n v="113"/>
    <x v="93"/>
    <s v="CUST113"/>
    <x v="1"/>
    <n v="41"/>
    <x v="2"/>
    <n v="2"/>
    <n v="25"/>
    <n v="50"/>
  </r>
  <r>
    <n v="114"/>
    <x v="94"/>
    <s v="CUST114"/>
    <x v="1"/>
    <n v="22"/>
    <x v="0"/>
    <n v="4"/>
    <n v="25"/>
    <n v="100"/>
  </r>
  <r>
    <n v="115"/>
    <x v="95"/>
    <s v="CUST115"/>
    <x v="0"/>
    <n v="51"/>
    <x v="1"/>
    <n v="3"/>
    <n v="500"/>
    <n v="1500"/>
  </r>
  <r>
    <n v="116"/>
    <x v="96"/>
    <s v="CUST116"/>
    <x v="1"/>
    <n v="23"/>
    <x v="1"/>
    <n v="1"/>
    <n v="30"/>
    <n v="30"/>
  </r>
  <r>
    <n v="117"/>
    <x v="97"/>
    <s v="CUST117"/>
    <x v="0"/>
    <n v="19"/>
    <x v="2"/>
    <n v="2"/>
    <n v="500"/>
    <n v="1000"/>
  </r>
  <r>
    <n v="118"/>
    <x v="42"/>
    <s v="CUST118"/>
    <x v="1"/>
    <n v="30"/>
    <x v="2"/>
    <n v="4"/>
    <n v="500"/>
    <n v="2000"/>
  </r>
  <r>
    <n v="119"/>
    <x v="6"/>
    <s v="CUST119"/>
    <x v="1"/>
    <n v="60"/>
    <x v="1"/>
    <n v="3"/>
    <n v="50"/>
    <n v="150"/>
  </r>
  <r>
    <n v="120"/>
    <x v="98"/>
    <s v="CUST120"/>
    <x v="0"/>
    <n v="60"/>
    <x v="0"/>
    <n v="1"/>
    <n v="50"/>
    <n v="50"/>
  </r>
  <r>
    <n v="121"/>
    <x v="21"/>
    <s v="CUST121"/>
    <x v="1"/>
    <n v="28"/>
    <x v="2"/>
    <n v="4"/>
    <n v="50"/>
    <n v="200"/>
  </r>
  <r>
    <n v="122"/>
    <x v="99"/>
    <s v="CUST122"/>
    <x v="0"/>
    <n v="64"/>
    <x v="2"/>
    <n v="4"/>
    <n v="30"/>
    <n v="120"/>
  </r>
  <r>
    <n v="123"/>
    <x v="100"/>
    <s v="CUST123"/>
    <x v="1"/>
    <n v="40"/>
    <x v="2"/>
    <n v="2"/>
    <n v="30"/>
    <n v="60"/>
  </r>
  <r>
    <n v="124"/>
    <x v="101"/>
    <s v="CUST124"/>
    <x v="0"/>
    <n v="33"/>
    <x v="1"/>
    <n v="4"/>
    <n v="500"/>
    <n v="2000"/>
  </r>
  <r>
    <n v="125"/>
    <x v="102"/>
    <s v="CUST125"/>
    <x v="0"/>
    <n v="48"/>
    <x v="1"/>
    <n v="2"/>
    <n v="50"/>
    <n v="100"/>
  </r>
  <r>
    <n v="126"/>
    <x v="103"/>
    <s v="CUST126"/>
    <x v="1"/>
    <n v="28"/>
    <x v="1"/>
    <n v="3"/>
    <n v="30"/>
    <n v="90"/>
  </r>
  <r>
    <n v="127"/>
    <x v="104"/>
    <s v="CUST127"/>
    <x v="1"/>
    <n v="33"/>
    <x v="1"/>
    <n v="2"/>
    <n v="25"/>
    <n v="50"/>
  </r>
  <r>
    <n v="128"/>
    <x v="53"/>
    <s v="CUST128"/>
    <x v="0"/>
    <n v="25"/>
    <x v="0"/>
    <n v="1"/>
    <n v="500"/>
    <n v="500"/>
  </r>
  <r>
    <n v="129"/>
    <x v="26"/>
    <s v="CUST129"/>
    <x v="1"/>
    <n v="21"/>
    <x v="0"/>
    <n v="2"/>
    <n v="300"/>
    <n v="600"/>
  </r>
  <r>
    <n v="130"/>
    <x v="105"/>
    <s v="CUST130"/>
    <x v="1"/>
    <n v="57"/>
    <x v="1"/>
    <n v="1"/>
    <n v="500"/>
    <n v="500"/>
  </r>
  <r>
    <n v="131"/>
    <x v="106"/>
    <s v="CUST131"/>
    <x v="1"/>
    <n v="21"/>
    <x v="0"/>
    <n v="2"/>
    <n v="300"/>
    <n v="600"/>
  </r>
  <r>
    <n v="132"/>
    <x v="107"/>
    <s v="CUST132"/>
    <x v="0"/>
    <n v="42"/>
    <x v="2"/>
    <n v="4"/>
    <n v="50"/>
    <n v="200"/>
  </r>
  <r>
    <n v="133"/>
    <x v="108"/>
    <s v="CUST133"/>
    <x v="0"/>
    <n v="20"/>
    <x v="2"/>
    <n v="3"/>
    <n v="300"/>
    <n v="900"/>
  </r>
  <r>
    <n v="134"/>
    <x v="109"/>
    <s v="CUST134"/>
    <x v="0"/>
    <n v="49"/>
    <x v="2"/>
    <n v="1"/>
    <n v="50"/>
    <n v="50"/>
  </r>
  <r>
    <n v="135"/>
    <x v="110"/>
    <s v="CUST135"/>
    <x v="0"/>
    <n v="20"/>
    <x v="1"/>
    <n v="2"/>
    <n v="25"/>
    <n v="50"/>
  </r>
  <r>
    <n v="136"/>
    <x v="111"/>
    <s v="CUST136"/>
    <x v="0"/>
    <n v="44"/>
    <x v="2"/>
    <n v="2"/>
    <n v="300"/>
    <n v="600"/>
  </r>
  <r>
    <n v="137"/>
    <x v="51"/>
    <s v="CUST137"/>
    <x v="0"/>
    <n v="46"/>
    <x v="0"/>
    <n v="2"/>
    <n v="500"/>
    <n v="1000"/>
  </r>
  <r>
    <n v="138"/>
    <x v="31"/>
    <s v="CUST138"/>
    <x v="0"/>
    <n v="49"/>
    <x v="1"/>
    <n v="4"/>
    <n v="50"/>
    <n v="200"/>
  </r>
  <r>
    <n v="139"/>
    <x v="112"/>
    <s v="CUST139"/>
    <x v="0"/>
    <n v="36"/>
    <x v="0"/>
    <n v="4"/>
    <n v="500"/>
    <n v="2000"/>
  </r>
  <r>
    <n v="140"/>
    <x v="12"/>
    <s v="CUST140"/>
    <x v="0"/>
    <n v="38"/>
    <x v="2"/>
    <n v="1"/>
    <n v="30"/>
    <n v="30"/>
  </r>
  <r>
    <n v="141"/>
    <x v="113"/>
    <s v="CUST141"/>
    <x v="1"/>
    <n v="22"/>
    <x v="2"/>
    <n v="1"/>
    <n v="50"/>
    <n v="50"/>
  </r>
  <r>
    <n v="142"/>
    <x v="114"/>
    <s v="CUST142"/>
    <x v="0"/>
    <n v="35"/>
    <x v="2"/>
    <n v="4"/>
    <n v="300"/>
    <n v="1200"/>
  </r>
  <r>
    <n v="143"/>
    <x v="115"/>
    <s v="CUST143"/>
    <x v="1"/>
    <n v="45"/>
    <x v="1"/>
    <n v="1"/>
    <n v="50"/>
    <n v="50"/>
  </r>
  <r>
    <n v="144"/>
    <x v="116"/>
    <s v="CUST144"/>
    <x v="1"/>
    <n v="59"/>
    <x v="0"/>
    <n v="3"/>
    <n v="500"/>
    <n v="1500"/>
  </r>
  <r>
    <n v="145"/>
    <x v="113"/>
    <s v="CUST145"/>
    <x v="1"/>
    <n v="39"/>
    <x v="1"/>
    <n v="3"/>
    <n v="25"/>
    <n v="75"/>
  </r>
  <r>
    <n v="146"/>
    <x v="117"/>
    <s v="CUST146"/>
    <x v="0"/>
    <n v="38"/>
    <x v="1"/>
    <n v="4"/>
    <n v="50"/>
    <n v="200"/>
  </r>
  <r>
    <n v="147"/>
    <x v="118"/>
    <s v="CUST147"/>
    <x v="0"/>
    <n v="23"/>
    <x v="2"/>
    <n v="1"/>
    <n v="300"/>
    <n v="300"/>
  </r>
  <r>
    <n v="148"/>
    <x v="119"/>
    <s v="CUST148"/>
    <x v="0"/>
    <n v="18"/>
    <x v="1"/>
    <n v="2"/>
    <n v="30"/>
    <n v="60"/>
  </r>
  <r>
    <n v="149"/>
    <x v="120"/>
    <s v="CUST149"/>
    <x v="0"/>
    <n v="22"/>
    <x v="1"/>
    <n v="3"/>
    <n v="25"/>
    <n v="75"/>
  </r>
  <r>
    <n v="150"/>
    <x v="121"/>
    <s v="CUST150"/>
    <x v="1"/>
    <n v="58"/>
    <x v="2"/>
    <n v="4"/>
    <n v="30"/>
    <n v="120"/>
  </r>
  <r>
    <n v="151"/>
    <x v="112"/>
    <s v="CUST151"/>
    <x v="0"/>
    <n v="29"/>
    <x v="1"/>
    <n v="1"/>
    <n v="50"/>
    <n v="50"/>
  </r>
  <r>
    <n v="152"/>
    <x v="122"/>
    <s v="CUST152"/>
    <x v="0"/>
    <n v="43"/>
    <x v="2"/>
    <n v="4"/>
    <n v="500"/>
    <n v="2000"/>
  </r>
  <r>
    <n v="153"/>
    <x v="72"/>
    <s v="CUST153"/>
    <x v="0"/>
    <n v="63"/>
    <x v="2"/>
    <n v="2"/>
    <n v="500"/>
    <n v="1000"/>
  </r>
  <r>
    <n v="154"/>
    <x v="45"/>
    <s v="CUST154"/>
    <x v="0"/>
    <n v="51"/>
    <x v="2"/>
    <n v="3"/>
    <n v="300"/>
    <n v="900"/>
  </r>
  <r>
    <n v="155"/>
    <x v="71"/>
    <s v="CUST155"/>
    <x v="0"/>
    <n v="31"/>
    <x v="2"/>
    <n v="4"/>
    <n v="500"/>
    <n v="2000"/>
  </r>
  <r>
    <n v="156"/>
    <x v="123"/>
    <s v="CUST156"/>
    <x v="1"/>
    <n v="43"/>
    <x v="1"/>
    <n v="4"/>
    <n v="25"/>
    <n v="100"/>
  </r>
  <r>
    <n v="157"/>
    <x v="33"/>
    <s v="CUST157"/>
    <x v="0"/>
    <n v="62"/>
    <x v="2"/>
    <n v="4"/>
    <n v="500"/>
    <n v="2000"/>
  </r>
  <r>
    <n v="158"/>
    <x v="1"/>
    <s v="CUST158"/>
    <x v="1"/>
    <n v="44"/>
    <x v="2"/>
    <n v="2"/>
    <n v="300"/>
    <n v="600"/>
  </r>
  <r>
    <n v="159"/>
    <x v="50"/>
    <s v="CUST159"/>
    <x v="0"/>
    <n v="26"/>
    <x v="1"/>
    <n v="4"/>
    <n v="50"/>
    <n v="200"/>
  </r>
  <r>
    <n v="160"/>
    <x v="124"/>
    <s v="CUST160"/>
    <x v="1"/>
    <n v="43"/>
    <x v="1"/>
    <n v="2"/>
    <n v="50"/>
    <n v="100"/>
  </r>
  <r>
    <n v="161"/>
    <x v="125"/>
    <s v="CUST161"/>
    <x v="0"/>
    <n v="64"/>
    <x v="0"/>
    <n v="2"/>
    <n v="500"/>
    <n v="1000"/>
  </r>
  <r>
    <n v="162"/>
    <x v="63"/>
    <s v="CUST162"/>
    <x v="0"/>
    <n v="39"/>
    <x v="1"/>
    <n v="2"/>
    <n v="30"/>
    <n v="60"/>
  </r>
  <r>
    <n v="163"/>
    <x v="126"/>
    <s v="CUST163"/>
    <x v="1"/>
    <n v="64"/>
    <x v="1"/>
    <n v="3"/>
    <n v="50"/>
    <n v="150"/>
  </r>
  <r>
    <n v="164"/>
    <x v="100"/>
    <s v="CUST164"/>
    <x v="1"/>
    <n v="47"/>
    <x v="0"/>
    <n v="3"/>
    <n v="500"/>
    <n v="1500"/>
  </r>
  <r>
    <n v="165"/>
    <x v="127"/>
    <s v="CUST165"/>
    <x v="1"/>
    <n v="60"/>
    <x v="1"/>
    <n v="4"/>
    <n v="300"/>
    <n v="1200"/>
  </r>
  <r>
    <n v="166"/>
    <x v="128"/>
    <s v="CUST166"/>
    <x v="0"/>
    <n v="34"/>
    <x v="1"/>
    <n v="4"/>
    <n v="500"/>
    <n v="2000"/>
  </r>
  <r>
    <n v="167"/>
    <x v="129"/>
    <s v="CUST167"/>
    <x v="1"/>
    <n v="43"/>
    <x v="1"/>
    <n v="3"/>
    <n v="50"/>
    <n v="150"/>
  </r>
  <r>
    <n v="168"/>
    <x v="130"/>
    <s v="CUST168"/>
    <x v="0"/>
    <n v="53"/>
    <x v="1"/>
    <n v="1"/>
    <n v="300"/>
    <n v="300"/>
  </r>
  <r>
    <n v="169"/>
    <x v="131"/>
    <s v="CUST169"/>
    <x v="0"/>
    <n v="18"/>
    <x v="0"/>
    <n v="3"/>
    <n v="500"/>
    <n v="1500"/>
  </r>
  <r>
    <n v="170"/>
    <x v="132"/>
    <s v="CUST170"/>
    <x v="1"/>
    <n v="25"/>
    <x v="1"/>
    <n v="2"/>
    <n v="25"/>
    <n v="50"/>
  </r>
  <r>
    <n v="171"/>
    <x v="0"/>
    <s v="CUST171"/>
    <x v="1"/>
    <n v="52"/>
    <x v="1"/>
    <n v="3"/>
    <n v="300"/>
    <n v="900"/>
  </r>
  <r>
    <n v="172"/>
    <x v="129"/>
    <s v="CUST172"/>
    <x v="0"/>
    <n v="32"/>
    <x v="0"/>
    <n v="2"/>
    <n v="25"/>
    <n v="50"/>
  </r>
  <r>
    <n v="173"/>
    <x v="75"/>
    <s v="CUST173"/>
    <x v="0"/>
    <n v="64"/>
    <x v="2"/>
    <n v="4"/>
    <n v="30"/>
    <n v="120"/>
  </r>
  <r>
    <n v="174"/>
    <x v="22"/>
    <s v="CUST174"/>
    <x v="1"/>
    <n v="39"/>
    <x v="0"/>
    <n v="1"/>
    <n v="300"/>
    <n v="300"/>
  </r>
  <r>
    <n v="175"/>
    <x v="111"/>
    <s v="CUST175"/>
    <x v="1"/>
    <n v="31"/>
    <x v="2"/>
    <n v="4"/>
    <n v="25"/>
    <n v="100"/>
  </r>
  <r>
    <n v="176"/>
    <x v="133"/>
    <s v="CUST176"/>
    <x v="1"/>
    <n v="43"/>
    <x v="0"/>
    <n v="2"/>
    <n v="50"/>
    <n v="100"/>
  </r>
  <r>
    <n v="177"/>
    <x v="134"/>
    <s v="CUST177"/>
    <x v="0"/>
    <n v="45"/>
    <x v="0"/>
    <n v="2"/>
    <n v="50"/>
    <n v="100"/>
  </r>
  <r>
    <n v="178"/>
    <x v="135"/>
    <s v="CUST178"/>
    <x v="0"/>
    <n v="40"/>
    <x v="1"/>
    <n v="2"/>
    <n v="30"/>
    <n v="60"/>
  </r>
  <r>
    <n v="179"/>
    <x v="136"/>
    <s v="CUST179"/>
    <x v="0"/>
    <n v="31"/>
    <x v="2"/>
    <n v="1"/>
    <n v="300"/>
    <n v="300"/>
  </r>
  <r>
    <n v="180"/>
    <x v="137"/>
    <s v="CUST180"/>
    <x v="0"/>
    <n v="41"/>
    <x v="1"/>
    <n v="3"/>
    <n v="300"/>
    <n v="900"/>
  </r>
  <r>
    <n v="181"/>
    <x v="138"/>
    <s v="CUST181"/>
    <x v="0"/>
    <n v="19"/>
    <x v="2"/>
    <n v="4"/>
    <n v="300"/>
    <n v="1200"/>
  </r>
  <r>
    <n v="182"/>
    <x v="139"/>
    <s v="CUST182"/>
    <x v="0"/>
    <n v="62"/>
    <x v="0"/>
    <n v="4"/>
    <n v="30"/>
    <n v="120"/>
  </r>
  <r>
    <n v="183"/>
    <x v="140"/>
    <s v="CUST183"/>
    <x v="1"/>
    <n v="43"/>
    <x v="0"/>
    <n v="3"/>
    <n v="300"/>
    <n v="900"/>
  </r>
  <r>
    <n v="184"/>
    <x v="141"/>
    <s v="CUST184"/>
    <x v="0"/>
    <n v="31"/>
    <x v="2"/>
    <n v="4"/>
    <n v="50"/>
    <n v="200"/>
  </r>
  <r>
    <n v="185"/>
    <x v="1"/>
    <s v="CUST185"/>
    <x v="0"/>
    <n v="24"/>
    <x v="1"/>
    <n v="1"/>
    <n v="25"/>
    <n v="25"/>
  </r>
  <r>
    <n v="186"/>
    <x v="53"/>
    <s v="CUST186"/>
    <x v="0"/>
    <n v="20"/>
    <x v="1"/>
    <n v="4"/>
    <n v="50"/>
    <n v="200"/>
  </r>
  <r>
    <n v="187"/>
    <x v="142"/>
    <s v="CUST187"/>
    <x v="1"/>
    <n v="64"/>
    <x v="1"/>
    <n v="2"/>
    <n v="50"/>
    <n v="100"/>
  </r>
  <r>
    <n v="188"/>
    <x v="143"/>
    <s v="CUST188"/>
    <x v="0"/>
    <n v="40"/>
    <x v="1"/>
    <n v="3"/>
    <n v="25"/>
    <n v="75"/>
  </r>
  <r>
    <n v="189"/>
    <x v="144"/>
    <s v="CUST189"/>
    <x v="0"/>
    <n v="63"/>
    <x v="0"/>
    <n v="1"/>
    <n v="50"/>
    <n v="50"/>
  </r>
  <r>
    <n v="190"/>
    <x v="145"/>
    <s v="CUST190"/>
    <x v="1"/>
    <n v="60"/>
    <x v="0"/>
    <n v="3"/>
    <n v="30"/>
    <n v="90"/>
  </r>
  <r>
    <n v="191"/>
    <x v="91"/>
    <s v="CUST191"/>
    <x v="0"/>
    <n v="64"/>
    <x v="0"/>
    <n v="1"/>
    <n v="25"/>
    <n v="25"/>
  </r>
  <r>
    <n v="192"/>
    <x v="48"/>
    <s v="CUST192"/>
    <x v="0"/>
    <n v="62"/>
    <x v="0"/>
    <n v="2"/>
    <n v="50"/>
    <n v="100"/>
  </r>
  <r>
    <n v="193"/>
    <x v="146"/>
    <s v="CUST193"/>
    <x v="0"/>
    <n v="35"/>
    <x v="0"/>
    <n v="3"/>
    <n v="500"/>
    <n v="1500"/>
  </r>
  <r>
    <n v="194"/>
    <x v="147"/>
    <s v="CUST194"/>
    <x v="0"/>
    <n v="55"/>
    <x v="1"/>
    <n v="4"/>
    <n v="50"/>
    <n v="200"/>
  </r>
  <r>
    <n v="195"/>
    <x v="57"/>
    <s v="CUST195"/>
    <x v="0"/>
    <n v="52"/>
    <x v="1"/>
    <n v="1"/>
    <n v="30"/>
    <n v="30"/>
  </r>
  <r>
    <n v="196"/>
    <x v="148"/>
    <s v="CUST196"/>
    <x v="1"/>
    <n v="32"/>
    <x v="1"/>
    <n v="3"/>
    <n v="300"/>
    <n v="900"/>
  </r>
  <r>
    <n v="197"/>
    <x v="149"/>
    <s v="CUST197"/>
    <x v="1"/>
    <n v="42"/>
    <x v="1"/>
    <n v="4"/>
    <n v="50"/>
    <n v="200"/>
  </r>
  <r>
    <n v="198"/>
    <x v="150"/>
    <s v="CUST198"/>
    <x v="1"/>
    <n v="54"/>
    <x v="0"/>
    <n v="3"/>
    <n v="300"/>
    <n v="900"/>
  </r>
  <r>
    <n v="199"/>
    <x v="151"/>
    <s v="CUST199"/>
    <x v="0"/>
    <n v="45"/>
    <x v="0"/>
    <n v="3"/>
    <n v="500"/>
    <n v="1500"/>
  </r>
  <r>
    <n v="200"/>
    <x v="152"/>
    <s v="CUST200"/>
    <x v="0"/>
    <n v="27"/>
    <x v="0"/>
    <n v="3"/>
    <n v="50"/>
    <n v="150"/>
  </r>
  <r>
    <n v="201"/>
    <x v="153"/>
    <s v="CUST201"/>
    <x v="0"/>
    <n v="56"/>
    <x v="2"/>
    <n v="1"/>
    <n v="25"/>
    <n v="25"/>
  </r>
  <r>
    <n v="202"/>
    <x v="154"/>
    <s v="CUST202"/>
    <x v="1"/>
    <n v="34"/>
    <x v="1"/>
    <n v="4"/>
    <n v="300"/>
    <n v="1200"/>
  </r>
  <r>
    <n v="203"/>
    <x v="42"/>
    <s v="CUST203"/>
    <x v="0"/>
    <n v="56"/>
    <x v="1"/>
    <n v="2"/>
    <n v="500"/>
    <n v="1000"/>
  </r>
  <r>
    <n v="204"/>
    <x v="118"/>
    <s v="CUST204"/>
    <x v="0"/>
    <n v="39"/>
    <x v="0"/>
    <n v="1"/>
    <n v="25"/>
    <n v="25"/>
  </r>
  <r>
    <n v="205"/>
    <x v="155"/>
    <s v="CUST205"/>
    <x v="1"/>
    <n v="43"/>
    <x v="1"/>
    <n v="1"/>
    <n v="25"/>
    <n v="25"/>
  </r>
  <r>
    <n v="206"/>
    <x v="12"/>
    <s v="CUST206"/>
    <x v="0"/>
    <n v="61"/>
    <x v="1"/>
    <n v="1"/>
    <n v="25"/>
    <n v="25"/>
  </r>
  <r>
    <n v="207"/>
    <x v="90"/>
    <s v="CUST207"/>
    <x v="1"/>
    <n v="42"/>
    <x v="0"/>
    <n v="2"/>
    <n v="25"/>
    <n v="50"/>
  </r>
  <r>
    <n v="208"/>
    <x v="135"/>
    <s v="CUST208"/>
    <x v="1"/>
    <n v="34"/>
    <x v="2"/>
    <n v="4"/>
    <n v="50"/>
    <n v="200"/>
  </r>
  <r>
    <n v="209"/>
    <x v="156"/>
    <s v="CUST209"/>
    <x v="1"/>
    <n v="30"/>
    <x v="2"/>
    <n v="4"/>
    <n v="50"/>
    <n v="200"/>
  </r>
  <r>
    <n v="210"/>
    <x v="157"/>
    <s v="CUST210"/>
    <x v="0"/>
    <n v="37"/>
    <x v="2"/>
    <n v="4"/>
    <n v="50"/>
    <n v="200"/>
  </r>
  <r>
    <n v="211"/>
    <x v="158"/>
    <s v="CUST211"/>
    <x v="0"/>
    <n v="42"/>
    <x v="0"/>
    <n v="3"/>
    <n v="500"/>
    <n v="1500"/>
  </r>
  <r>
    <n v="212"/>
    <x v="159"/>
    <s v="CUST212"/>
    <x v="0"/>
    <n v="21"/>
    <x v="1"/>
    <n v="3"/>
    <n v="500"/>
    <n v="1500"/>
  </r>
  <r>
    <n v="213"/>
    <x v="104"/>
    <s v="CUST213"/>
    <x v="0"/>
    <n v="27"/>
    <x v="0"/>
    <n v="3"/>
    <n v="500"/>
    <n v="1500"/>
  </r>
  <r>
    <n v="214"/>
    <x v="70"/>
    <s v="CUST214"/>
    <x v="0"/>
    <n v="20"/>
    <x v="0"/>
    <n v="2"/>
    <n v="30"/>
    <n v="60"/>
  </r>
  <r>
    <n v="215"/>
    <x v="23"/>
    <s v="CUST215"/>
    <x v="0"/>
    <n v="58"/>
    <x v="1"/>
    <n v="3"/>
    <n v="500"/>
    <n v="1500"/>
  </r>
  <r>
    <n v="216"/>
    <x v="133"/>
    <s v="CUST216"/>
    <x v="0"/>
    <n v="62"/>
    <x v="2"/>
    <n v="2"/>
    <n v="50"/>
    <n v="100"/>
  </r>
  <r>
    <n v="217"/>
    <x v="160"/>
    <s v="CUST217"/>
    <x v="1"/>
    <n v="35"/>
    <x v="2"/>
    <n v="4"/>
    <n v="50"/>
    <n v="200"/>
  </r>
  <r>
    <n v="218"/>
    <x v="161"/>
    <s v="CUST218"/>
    <x v="0"/>
    <n v="64"/>
    <x v="0"/>
    <n v="3"/>
    <n v="30"/>
    <n v="90"/>
  </r>
  <r>
    <n v="219"/>
    <x v="162"/>
    <s v="CUST219"/>
    <x v="1"/>
    <n v="53"/>
    <x v="2"/>
    <n v="3"/>
    <n v="30"/>
    <n v="90"/>
  </r>
  <r>
    <n v="220"/>
    <x v="163"/>
    <s v="CUST220"/>
    <x v="0"/>
    <n v="64"/>
    <x v="0"/>
    <n v="1"/>
    <n v="500"/>
    <n v="500"/>
  </r>
  <r>
    <n v="221"/>
    <x v="98"/>
    <s v="CUST221"/>
    <x v="0"/>
    <n v="39"/>
    <x v="0"/>
    <n v="2"/>
    <n v="300"/>
    <n v="600"/>
  </r>
  <r>
    <n v="222"/>
    <x v="164"/>
    <s v="CUST222"/>
    <x v="0"/>
    <n v="51"/>
    <x v="1"/>
    <n v="4"/>
    <n v="30"/>
    <n v="120"/>
  </r>
  <r>
    <n v="223"/>
    <x v="114"/>
    <s v="CUST223"/>
    <x v="1"/>
    <n v="64"/>
    <x v="1"/>
    <n v="1"/>
    <n v="25"/>
    <n v="25"/>
  </r>
  <r>
    <n v="224"/>
    <x v="165"/>
    <s v="CUST224"/>
    <x v="1"/>
    <n v="25"/>
    <x v="1"/>
    <n v="1"/>
    <n v="50"/>
    <n v="50"/>
  </r>
  <r>
    <n v="225"/>
    <x v="166"/>
    <s v="CUST225"/>
    <x v="1"/>
    <n v="57"/>
    <x v="0"/>
    <n v="4"/>
    <n v="25"/>
    <n v="100"/>
  </r>
  <r>
    <n v="226"/>
    <x v="28"/>
    <s v="CUST226"/>
    <x v="1"/>
    <n v="61"/>
    <x v="1"/>
    <n v="1"/>
    <n v="50"/>
    <n v="50"/>
  </r>
  <r>
    <n v="227"/>
    <x v="120"/>
    <s v="CUST227"/>
    <x v="0"/>
    <n v="36"/>
    <x v="2"/>
    <n v="2"/>
    <n v="50"/>
    <n v="100"/>
  </r>
  <r>
    <n v="228"/>
    <x v="85"/>
    <s v="CUST228"/>
    <x v="1"/>
    <n v="59"/>
    <x v="2"/>
    <n v="2"/>
    <n v="30"/>
    <n v="60"/>
  </r>
  <r>
    <n v="229"/>
    <x v="28"/>
    <s v="CUST229"/>
    <x v="0"/>
    <n v="58"/>
    <x v="0"/>
    <n v="3"/>
    <n v="30"/>
    <n v="90"/>
  </r>
  <r>
    <n v="230"/>
    <x v="26"/>
    <s v="CUST230"/>
    <x v="0"/>
    <n v="54"/>
    <x v="0"/>
    <n v="1"/>
    <n v="25"/>
    <n v="25"/>
  </r>
  <r>
    <n v="231"/>
    <x v="30"/>
    <s v="CUST231"/>
    <x v="1"/>
    <n v="23"/>
    <x v="1"/>
    <n v="3"/>
    <n v="50"/>
    <n v="150"/>
  </r>
  <r>
    <n v="232"/>
    <x v="74"/>
    <s v="CUST232"/>
    <x v="1"/>
    <n v="43"/>
    <x v="0"/>
    <n v="1"/>
    <n v="25"/>
    <n v="25"/>
  </r>
  <r>
    <n v="233"/>
    <x v="167"/>
    <s v="CUST233"/>
    <x v="1"/>
    <n v="51"/>
    <x v="0"/>
    <n v="2"/>
    <n v="300"/>
    <n v="600"/>
  </r>
  <r>
    <n v="234"/>
    <x v="168"/>
    <s v="CUST234"/>
    <x v="1"/>
    <n v="62"/>
    <x v="2"/>
    <n v="2"/>
    <n v="25"/>
    <n v="50"/>
  </r>
  <r>
    <n v="235"/>
    <x v="169"/>
    <s v="CUST235"/>
    <x v="1"/>
    <n v="23"/>
    <x v="2"/>
    <n v="2"/>
    <n v="500"/>
    <n v="1000"/>
  </r>
  <r>
    <n v="236"/>
    <x v="85"/>
    <s v="CUST236"/>
    <x v="1"/>
    <n v="54"/>
    <x v="1"/>
    <n v="1"/>
    <n v="25"/>
    <n v="25"/>
  </r>
  <r>
    <n v="237"/>
    <x v="170"/>
    <s v="CUST237"/>
    <x v="1"/>
    <n v="50"/>
    <x v="0"/>
    <n v="2"/>
    <n v="500"/>
    <n v="1000"/>
  </r>
  <r>
    <n v="238"/>
    <x v="13"/>
    <s v="CUST238"/>
    <x v="1"/>
    <n v="39"/>
    <x v="0"/>
    <n v="1"/>
    <n v="500"/>
    <n v="500"/>
  </r>
  <r>
    <n v="239"/>
    <x v="171"/>
    <s v="CUST239"/>
    <x v="0"/>
    <n v="38"/>
    <x v="2"/>
    <n v="3"/>
    <n v="500"/>
    <n v="1500"/>
  </r>
  <r>
    <n v="240"/>
    <x v="74"/>
    <s v="CUST240"/>
    <x v="1"/>
    <n v="23"/>
    <x v="0"/>
    <n v="1"/>
    <n v="300"/>
    <n v="300"/>
  </r>
  <r>
    <n v="241"/>
    <x v="172"/>
    <s v="CUST241"/>
    <x v="1"/>
    <n v="23"/>
    <x v="2"/>
    <n v="3"/>
    <n v="25"/>
    <n v="75"/>
  </r>
  <r>
    <n v="242"/>
    <x v="173"/>
    <s v="CUST242"/>
    <x v="0"/>
    <n v="21"/>
    <x v="1"/>
    <n v="1"/>
    <n v="25"/>
    <n v="25"/>
  </r>
  <r>
    <n v="243"/>
    <x v="29"/>
    <s v="CUST243"/>
    <x v="1"/>
    <n v="47"/>
    <x v="2"/>
    <n v="3"/>
    <n v="300"/>
    <n v="900"/>
  </r>
  <r>
    <n v="244"/>
    <x v="174"/>
    <s v="CUST244"/>
    <x v="0"/>
    <n v="28"/>
    <x v="0"/>
    <n v="2"/>
    <n v="50"/>
    <n v="100"/>
  </r>
  <r>
    <n v="245"/>
    <x v="147"/>
    <s v="CUST245"/>
    <x v="0"/>
    <n v="47"/>
    <x v="1"/>
    <n v="3"/>
    <n v="30"/>
    <n v="90"/>
  </r>
  <r>
    <n v="246"/>
    <x v="175"/>
    <s v="CUST246"/>
    <x v="1"/>
    <n v="48"/>
    <x v="2"/>
    <n v="2"/>
    <n v="25"/>
    <n v="50"/>
  </r>
  <r>
    <n v="247"/>
    <x v="135"/>
    <s v="CUST247"/>
    <x v="0"/>
    <n v="41"/>
    <x v="2"/>
    <n v="2"/>
    <n v="30"/>
    <n v="60"/>
  </r>
  <r>
    <n v="248"/>
    <x v="176"/>
    <s v="CUST248"/>
    <x v="0"/>
    <n v="26"/>
    <x v="1"/>
    <n v="3"/>
    <n v="300"/>
    <n v="900"/>
  </r>
  <r>
    <n v="249"/>
    <x v="177"/>
    <s v="CUST249"/>
    <x v="0"/>
    <n v="20"/>
    <x v="1"/>
    <n v="1"/>
    <n v="50"/>
    <n v="50"/>
  </r>
  <r>
    <n v="250"/>
    <x v="54"/>
    <s v="CUST250"/>
    <x v="0"/>
    <n v="48"/>
    <x v="2"/>
    <n v="1"/>
    <n v="50"/>
    <n v="50"/>
  </r>
  <r>
    <n v="251"/>
    <x v="178"/>
    <s v="CUST251"/>
    <x v="1"/>
    <n v="57"/>
    <x v="0"/>
    <n v="4"/>
    <n v="50"/>
    <n v="200"/>
  </r>
  <r>
    <n v="252"/>
    <x v="179"/>
    <s v="CUST252"/>
    <x v="0"/>
    <n v="54"/>
    <x v="2"/>
    <n v="1"/>
    <n v="300"/>
    <n v="300"/>
  </r>
  <r>
    <n v="253"/>
    <x v="178"/>
    <s v="CUST253"/>
    <x v="1"/>
    <n v="53"/>
    <x v="1"/>
    <n v="4"/>
    <n v="500"/>
    <n v="2000"/>
  </r>
  <r>
    <n v="254"/>
    <x v="180"/>
    <s v="CUST254"/>
    <x v="0"/>
    <n v="41"/>
    <x v="2"/>
    <n v="1"/>
    <n v="500"/>
    <n v="500"/>
  </r>
  <r>
    <n v="255"/>
    <x v="181"/>
    <s v="CUST255"/>
    <x v="0"/>
    <n v="48"/>
    <x v="1"/>
    <n v="1"/>
    <n v="30"/>
    <n v="30"/>
  </r>
  <r>
    <n v="256"/>
    <x v="182"/>
    <s v="CUST256"/>
    <x v="0"/>
    <n v="23"/>
    <x v="1"/>
    <n v="2"/>
    <n v="500"/>
    <n v="1000"/>
  </r>
  <r>
    <n v="257"/>
    <x v="38"/>
    <s v="CUST257"/>
    <x v="0"/>
    <n v="19"/>
    <x v="0"/>
    <n v="4"/>
    <n v="500"/>
    <n v="2000"/>
  </r>
  <r>
    <n v="258"/>
    <x v="151"/>
    <s v="CUST258"/>
    <x v="1"/>
    <n v="37"/>
    <x v="1"/>
    <n v="1"/>
    <n v="50"/>
    <n v="50"/>
  </r>
  <r>
    <n v="259"/>
    <x v="183"/>
    <s v="CUST259"/>
    <x v="1"/>
    <n v="45"/>
    <x v="1"/>
    <n v="4"/>
    <n v="50"/>
    <n v="200"/>
  </r>
  <r>
    <n v="260"/>
    <x v="68"/>
    <s v="CUST260"/>
    <x v="0"/>
    <n v="28"/>
    <x v="0"/>
    <n v="2"/>
    <n v="30"/>
    <n v="60"/>
  </r>
  <r>
    <n v="261"/>
    <x v="12"/>
    <s v="CUST261"/>
    <x v="0"/>
    <n v="21"/>
    <x v="1"/>
    <n v="2"/>
    <n v="25"/>
    <n v="50"/>
  </r>
  <r>
    <n v="262"/>
    <x v="184"/>
    <s v="CUST262"/>
    <x v="1"/>
    <n v="32"/>
    <x v="0"/>
    <n v="4"/>
    <n v="30"/>
    <n v="120"/>
  </r>
  <r>
    <n v="263"/>
    <x v="117"/>
    <s v="CUST263"/>
    <x v="0"/>
    <n v="23"/>
    <x v="0"/>
    <n v="2"/>
    <n v="30"/>
    <n v="60"/>
  </r>
  <r>
    <n v="264"/>
    <x v="185"/>
    <s v="CUST264"/>
    <x v="0"/>
    <n v="47"/>
    <x v="1"/>
    <n v="3"/>
    <n v="300"/>
    <n v="900"/>
  </r>
  <r>
    <n v="265"/>
    <x v="186"/>
    <s v="CUST265"/>
    <x v="0"/>
    <n v="55"/>
    <x v="1"/>
    <n v="3"/>
    <n v="300"/>
    <n v="900"/>
  </r>
  <r>
    <n v="266"/>
    <x v="187"/>
    <s v="CUST266"/>
    <x v="1"/>
    <n v="19"/>
    <x v="2"/>
    <n v="2"/>
    <n v="30"/>
    <n v="60"/>
  </r>
  <r>
    <n v="267"/>
    <x v="188"/>
    <s v="CUST267"/>
    <x v="1"/>
    <n v="32"/>
    <x v="0"/>
    <n v="3"/>
    <n v="30"/>
    <n v="90"/>
  </r>
  <r>
    <n v="268"/>
    <x v="189"/>
    <s v="CUST268"/>
    <x v="1"/>
    <n v="28"/>
    <x v="2"/>
    <n v="1"/>
    <n v="30"/>
    <n v="30"/>
  </r>
  <r>
    <n v="269"/>
    <x v="190"/>
    <s v="CUST269"/>
    <x v="0"/>
    <n v="25"/>
    <x v="1"/>
    <n v="4"/>
    <n v="500"/>
    <n v="2000"/>
  </r>
  <r>
    <n v="270"/>
    <x v="191"/>
    <s v="CUST270"/>
    <x v="0"/>
    <n v="43"/>
    <x v="2"/>
    <n v="1"/>
    <n v="300"/>
    <n v="300"/>
  </r>
  <r>
    <n v="271"/>
    <x v="165"/>
    <s v="CUST271"/>
    <x v="1"/>
    <n v="62"/>
    <x v="0"/>
    <n v="4"/>
    <n v="30"/>
    <n v="120"/>
  </r>
  <r>
    <n v="272"/>
    <x v="192"/>
    <s v="CUST272"/>
    <x v="1"/>
    <n v="61"/>
    <x v="2"/>
    <n v="2"/>
    <n v="50"/>
    <n v="100"/>
  </r>
  <r>
    <n v="273"/>
    <x v="193"/>
    <s v="CUST273"/>
    <x v="1"/>
    <n v="22"/>
    <x v="0"/>
    <n v="1"/>
    <n v="50"/>
    <n v="50"/>
  </r>
  <r>
    <n v="274"/>
    <x v="55"/>
    <s v="CUST274"/>
    <x v="1"/>
    <n v="23"/>
    <x v="1"/>
    <n v="2"/>
    <n v="500"/>
    <n v="1000"/>
  </r>
  <r>
    <n v="275"/>
    <x v="181"/>
    <s v="CUST275"/>
    <x v="0"/>
    <n v="43"/>
    <x v="1"/>
    <n v="2"/>
    <n v="500"/>
    <n v="1000"/>
  </r>
  <r>
    <n v="276"/>
    <x v="45"/>
    <s v="CUST276"/>
    <x v="1"/>
    <n v="21"/>
    <x v="0"/>
    <n v="4"/>
    <n v="25"/>
    <n v="100"/>
  </r>
  <r>
    <n v="277"/>
    <x v="27"/>
    <s v="CUST277"/>
    <x v="0"/>
    <n v="36"/>
    <x v="1"/>
    <n v="4"/>
    <n v="25"/>
    <n v="100"/>
  </r>
  <r>
    <n v="278"/>
    <x v="6"/>
    <s v="CUST278"/>
    <x v="1"/>
    <n v="37"/>
    <x v="1"/>
    <n v="4"/>
    <n v="25"/>
    <n v="100"/>
  </r>
  <r>
    <n v="279"/>
    <x v="12"/>
    <s v="CUST279"/>
    <x v="0"/>
    <n v="50"/>
    <x v="1"/>
    <n v="1"/>
    <n v="500"/>
    <n v="500"/>
  </r>
  <r>
    <n v="280"/>
    <x v="194"/>
    <s v="CUST280"/>
    <x v="1"/>
    <n v="37"/>
    <x v="1"/>
    <n v="3"/>
    <n v="500"/>
    <n v="1500"/>
  </r>
  <r>
    <n v="281"/>
    <x v="29"/>
    <s v="CUST281"/>
    <x v="1"/>
    <n v="29"/>
    <x v="0"/>
    <n v="4"/>
    <n v="500"/>
    <n v="2000"/>
  </r>
  <r>
    <n v="282"/>
    <x v="78"/>
    <s v="CUST282"/>
    <x v="1"/>
    <n v="64"/>
    <x v="2"/>
    <n v="4"/>
    <n v="50"/>
    <n v="200"/>
  </r>
  <r>
    <n v="283"/>
    <x v="193"/>
    <s v="CUST283"/>
    <x v="1"/>
    <n v="18"/>
    <x v="2"/>
    <n v="1"/>
    <n v="500"/>
    <n v="500"/>
  </r>
  <r>
    <n v="284"/>
    <x v="195"/>
    <s v="CUST284"/>
    <x v="0"/>
    <n v="43"/>
    <x v="1"/>
    <n v="4"/>
    <n v="50"/>
    <n v="200"/>
  </r>
  <r>
    <n v="285"/>
    <x v="196"/>
    <s v="CUST285"/>
    <x v="1"/>
    <n v="31"/>
    <x v="2"/>
    <n v="1"/>
    <n v="25"/>
    <n v="25"/>
  </r>
  <r>
    <n v="286"/>
    <x v="153"/>
    <s v="CUST286"/>
    <x v="0"/>
    <n v="55"/>
    <x v="2"/>
    <n v="2"/>
    <n v="25"/>
    <n v="50"/>
  </r>
  <r>
    <n v="287"/>
    <x v="189"/>
    <s v="CUST287"/>
    <x v="0"/>
    <n v="54"/>
    <x v="1"/>
    <n v="4"/>
    <n v="25"/>
    <n v="100"/>
  </r>
  <r>
    <n v="288"/>
    <x v="197"/>
    <s v="CUST288"/>
    <x v="0"/>
    <n v="28"/>
    <x v="1"/>
    <n v="4"/>
    <n v="30"/>
    <n v="120"/>
  </r>
  <r>
    <n v="289"/>
    <x v="198"/>
    <s v="CUST289"/>
    <x v="0"/>
    <n v="53"/>
    <x v="2"/>
    <n v="2"/>
    <n v="30"/>
    <n v="60"/>
  </r>
  <r>
    <n v="290"/>
    <x v="135"/>
    <s v="CUST290"/>
    <x v="1"/>
    <n v="30"/>
    <x v="0"/>
    <n v="2"/>
    <n v="300"/>
    <n v="600"/>
  </r>
  <r>
    <n v="291"/>
    <x v="199"/>
    <s v="CUST291"/>
    <x v="0"/>
    <n v="60"/>
    <x v="1"/>
    <n v="2"/>
    <n v="300"/>
    <n v="600"/>
  </r>
  <r>
    <n v="292"/>
    <x v="15"/>
    <s v="CUST292"/>
    <x v="0"/>
    <n v="20"/>
    <x v="0"/>
    <n v="4"/>
    <n v="300"/>
    <n v="1200"/>
  </r>
  <r>
    <n v="293"/>
    <x v="173"/>
    <s v="CUST293"/>
    <x v="0"/>
    <n v="50"/>
    <x v="2"/>
    <n v="3"/>
    <n v="30"/>
    <n v="90"/>
  </r>
  <r>
    <n v="294"/>
    <x v="200"/>
    <s v="CUST294"/>
    <x v="1"/>
    <n v="23"/>
    <x v="1"/>
    <n v="3"/>
    <n v="30"/>
    <n v="90"/>
  </r>
  <r>
    <n v="295"/>
    <x v="180"/>
    <s v="CUST295"/>
    <x v="1"/>
    <n v="27"/>
    <x v="0"/>
    <n v="3"/>
    <n v="300"/>
    <n v="900"/>
  </r>
  <r>
    <n v="296"/>
    <x v="147"/>
    <s v="CUST296"/>
    <x v="1"/>
    <n v="22"/>
    <x v="1"/>
    <n v="4"/>
    <n v="300"/>
    <n v="1200"/>
  </r>
  <r>
    <n v="297"/>
    <x v="201"/>
    <s v="CUST297"/>
    <x v="1"/>
    <n v="40"/>
    <x v="2"/>
    <n v="2"/>
    <n v="500"/>
    <n v="1000"/>
  </r>
  <r>
    <n v="298"/>
    <x v="175"/>
    <s v="CUST298"/>
    <x v="0"/>
    <n v="27"/>
    <x v="0"/>
    <n v="4"/>
    <n v="300"/>
    <n v="1200"/>
  </r>
  <r>
    <n v="299"/>
    <x v="87"/>
    <s v="CUST299"/>
    <x v="0"/>
    <n v="61"/>
    <x v="2"/>
    <n v="2"/>
    <n v="500"/>
    <n v="1000"/>
  </r>
  <r>
    <n v="300"/>
    <x v="169"/>
    <s v="CUST300"/>
    <x v="1"/>
    <n v="19"/>
    <x v="2"/>
    <n v="4"/>
    <n v="50"/>
    <n v="200"/>
  </r>
  <r>
    <n v="301"/>
    <x v="154"/>
    <s v="CUST301"/>
    <x v="0"/>
    <n v="30"/>
    <x v="1"/>
    <n v="4"/>
    <n v="30"/>
    <n v="120"/>
  </r>
  <r>
    <n v="302"/>
    <x v="37"/>
    <s v="CUST302"/>
    <x v="0"/>
    <n v="57"/>
    <x v="0"/>
    <n v="2"/>
    <n v="300"/>
    <n v="600"/>
  </r>
  <r>
    <n v="303"/>
    <x v="126"/>
    <s v="CUST303"/>
    <x v="0"/>
    <n v="19"/>
    <x v="2"/>
    <n v="3"/>
    <n v="30"/>
    <n v="90"/>
  </r>
  <r>
    <n v="304"/>
    <x v="202"/>
    <s v="CUST304"/>
    <x v="1"/>
    <n v="37"/>
    <x v="2"/>
    <n v="2"/>
    <n v="30"/>
    <n v="60"/>
  </r>
  <r>
    <n v="305"/>
    <x v="42"/>
    <s v="CUST305"/>
    <x v="1"/>
    <n v="18"/>
    <x v="0"/>
    <n v="1"/>
    <n v="30"/>
    <n v="30"/>
  </r>
  <r>
    <n v="306"/>
    <x v="63"/>
    <s v="CUST306"/>
    <x v="0"/>
    <n v="54"/>
    <x v="2"/>
    <n v="1"/>
    <n v="50"/>
    <n v="50"/>
  </r>
  <r>
    <n v="307"/>
    <x v="203"/>
    <s v="CUST307"/>
    <x v="1"/>
    <n v="26"/>
    <x v="2"/>
    <n v="2"/>
    <n v="25"/>
    <n v="50"/>
  </r>
  <r>
    <n v="308"/>
    <x v="12"/>
    <s v="CUST308"/>
    <x v="1"/>
    <n v="34"/>
    <x v="0"/>
    <n v="4"/>
    <n v="300"/>
    <n v="1200"/>
  </r>
  <r>
    <n v="309"/>
    <x v="204"/>
    <s v="CUST309"/>
    <x v="1"/>
    <n v="26"/>
    <x v="0"/>
    <n v="1"/>
    <n v="25"/>
    <n v="25"/>
  </r>
  <r>
    <n v="310"/>
    <x v="205"/>
    <s v="CUST310"/>
    <x v="1"/>
    <n v="28"/>
    <x v="0"/>
    <n v="1"/>
    <n v="25"/>
    <n v="25"/>
  </r>
  <r>
    <n v="311"/>
    <x v="59"/>
    <s v="CUST311"/>
    <x v="1"/>
    <n v="32"/>
    <x v="0"/>
    <n v="4"/>
    <n v="25"/>
    <n v="100"/>
  </r>
  <r>
    <n v="312"/>
    <x v="206"/>
    <s v="CUST312"/>
    <x v="0"/>
    <n v="41"/>
    <x v="1"/>
    <n v="4"/>
    <n v="30"/>
    <n v="120"/>
  </r>
  <r>
    <n v="313"/>
    <x v="34"/>
    <s v="CUST313"/>
    <x v="1"/>
    <n v="55"/>
    <x v="0"/>
    <n v="3"/>
    <n v="500"/>
    <n v="1500"/>
  </r>
  <r>
    <n v="314"/>
    <x v="181"/>
    <s v="CUST314"/>
    <x v="0"/>
    <n v="52"/>
    <x v="1"/>
    <n v="4"/>
    <n v="30"/>
    <n v="120"/>
  </r>
  <r>
    <n v="315"/>
    <x v="207"/>
    <s v="CUST315"/>
    <x v="0"/>
    <n v="47"/>
    <x v="1"/>
    <n v="2"/>
    <n v="30"/>
    <n v="60"/>
  </r>
  <r>
    <n v="316"/>
    <x v="16"/>
    <s v="CUST316"/>
    <x v="1"/>
    <n v="48"/>
    <x v="1"/>
    <n v="2"/>
    <n v="25"/>
    <n v="50"/>
  </r>
  <r>
    <n v="317"/>
    <x v="144"/>
    <s v="CUST317"/>
    <x v="0"/>
    <n v="22"/>
    <x v="2"/>
    <n v="3"/>
    <n v="30"/>
    <n v="90"/>
  </r>
  <r>
    <n v="318"/>
    <x v="208"/>
    <s v="CUST318"/>
    <x v="0"/>
    <n v="61"/>
    <x v="1"/>
    <n v="1"/>
    <n v="25"/>
    <n v="25"/>
  </r>
  <r>
    <n v="319"/>
    <x v="209"/>
    <s v="CUST319"/>
    <x v="0"/>
    <n v="31"/>
    <x v="1"/>
    <n v="1"/>
    <n v="500"/>
    <n v="500"/>
  </r>
  <r>
    <n v="320"/>
    <x v="190"/>
    <s v="CUST320"/>
    <x v="1"/>
    <n v="28"/>
    <x v="2"/>
    <n v="4"/>
    <n v="300"/>
    <n v="1200"/>
  </r>
  <r>
    <n v="321"/>
    <x v="210"/>
    <s v="CUST321"/>
    <x v="1"/>
    <n v="26"/>
    <x v="2"/>
    <n v="2"/>
    <n v="25"/>
    <n v="50"/>
  </r>
  <r>
    <n v="322"/>
    <x v="144"/>
    <s v="CUST322"/>
    <x v="0"/>
    <n v="51"/>
    <x v="2"/>
    <n v="1"/>
    <n v="500"/>
    <n v="500"/>
  </r>
  <r>
    <n v="323"/>
    <x v="197"/>
    <s v="CUST323"/>
    <x v="1"/>
    <n v="29"/>
    <x v="0"/>
    <n v="3"/>
    <n v="300"/>
    <n v="900"/>
  </r>
  <r>
    <n v="324"/>
    <x v="101"/>
    <s v="CUST324"/>
    <x v="1"/>
    <n v="52"/>
    <x v="2"/>
    <n v="3"/>
    <n v="50"/>
    <n v="150"/>
  </r>
  <r>
    <n v="325"/>
    <x v="211"/>
    <s v="CUST325"/>
    <x v="1"/>
    <n v="52"/>
    <x v="2"/>
    <n v="2"/>
    <n v="25"/>
    <n v="50"/>
  </r>
  <r>
    <n v="326"/>
    <x v="212"/>
    <s v="CUST326"/>
    <x v="1"/>
    <n v="18"/>
    <x v="1"/>
    <n v="3"/>
    <n v="25"/>
    <n v="75"/>
  </r>
  <r>
    <n v="327"/>
    <x v="136"/>
    <s v="CUST327"/>
    <x v="0"/>
    <n v="57"/>
    <x v="2"/>
    <n v="3"/>
    <n v="50"/>
    <n v="150"/>
  </r>
  <r>
    <n v="328"/>
    <x v="125"/>
    <s v="CUST328"/>
    <x v="0"/>
    <n v="39"/>
    <x v="0"/>
    <n v="2"/>
    <n v="50"/>
    <n v="100"/>
  </r>
  <r>
    <n v="329"/>
    <x v="144"/>
    <s v="CUST329"/>
    <x v="1"/>
    <n v="46"/>
    <x v="2"/>
    <n v="4"/>
    <n v="25"/>
    <n v="100"/>
  </r>
  <r>
    <n v="330"/>
    <x v="106"/>
    <s v="CUST330"/>
    <x v="1"/>
    <n v="25"/>
    <x v="0"/>
    <n v="4"/>
    <n v="50"/>
    <n v="200"/>
  </r>
  <r>
    <n v="331"/>
    <x v="213"/>
    <s v="CUST331"/>
    <x v="0"/>
    <n v="28"/>
    <x v="2"/>
    <n v="3"/>
    <n v="30"/>
    <n v="90"/>
  </r>
  <r>
    <n v="332"/>
    <x v="214"/>
    <s v="CUST332"/>
    <x v="0"/>
    <n v="58"/>
    <x v="2"/>
    <n v="4"/>
    <n v="300"/>
    <n v="1200"/>
  </r>
  <r>
    <n v="333"/>
    <x v="57"/>
    <s v="CUST333"/>
    <x v="1"/>
    <n v="54"/>
    <x v="2"/>
    <n v="4"/>
    <n v="300"/>
    <n v="1200"/>
  </r>
  <r>
    <n v="334"/>
    <x v="215"/>
    <s v="CUST334"/>
    <x v="0"/>
    <n v="31"/>
    <x v="2"/>
    <n v="3"/>
    <n v="300"/>
    <n v="900"/>
  </r>
  <r>
    <n v="335"/>
    <x v="170"/>
    <s v="CUST335"/>
    <x v="1"/>
    <n v="47"/>
    <x v="0"/>
    <n v="4"/>
    <n v="30"/>
    <n v="120"/>
  </r>
  <r>
    <n v="336"/>
    <x v="216"/>
    <s v="CUST336"/>
    <x v="1"/>
    <n v="52"/>
    <x v="0"/>
    <n v="3"/>
    <n v="50"/>
    <n v="150"/>
  </r>
  <r>
    <n v="337"/>
    <x v="217"/>
    <s v="CUST337"/>
    <x v="0"/>
    <n v="38"/>
    <x v="1"/>
    <n v="1"/>
    <n v="500"/>
    <n v="500"/>
  </r>
  <r>
    <n v="338"/>
    <x v="191"/>
    <s v="CUST338"/>
    <x v="0"/>
    <n v="54"/>
    <x v="0"/>
    <n v="2"/>
    <n v="50"/>
    <n v="100"/>
  </r>
  <r>
    <n v="339"/>
    <x v="163"/>
    <s v="CUST339"/>
    <x v="1"/>
    <n v="22"/>
    <x v="2"/>
    <n v="2"/>
    <n v="25"/>
    <n v="50"/>
  </r>
  <r>
    <n v="340"/>
    <x v="218"/>
    <s v="CUST340"/>
    <x v="1"/>
    <n v="36"/>
    <x v="1"/>
    <n v="4"/>
    <n v="300"/>
    <n v="1200"/>
  </r>
  <r>
    <n v="341"/>
    <x v="98"/>
    <s v="CUST341"/>
    <x v="0"/>
    <n v="31"/>
    <x v="1"/>
    <n v="4"/>
    <n v="50"/>
    <n v="200"/>
  </r>
  <r>
    <n v="342"/>
    <x v="208"/>
    <s v="CUST342"/>
    <x v="1"/>
    <n v="43"/>
    <x v="1"/>
    <n v="4"/>
    <n v="500"/>
    <n v="2000"/>
  </r>
  <r>
    <n v="343"/>
    <x v="215"/>
    <s v="CUST343"/>
    <x v="0"/>
    <n v="21"/>
    <x v="2"/>
    <n v="2"/>
    <n v="25"/>
    <n v="50"/>
  </r>
  <r>
    <n v="344"/>
    <x v="219"/>
    <s v="CUST344"/>
    <x v="1"/>
    <n v="42"/>
    <x v="0"/>
    <n v="1"/>
    <n v="30"/>
    <n v="30"/>
  </r>
  <r>
    <n v="345"/>
    <x v="220"/>
    <s v="CUST345"/>
    <x v="0"/>
    <n v="62"/>
    <x v="2"/>
    <n v="1"/>
    <n v="30"/>
    <n v="30"/>
  </r>
  <r>
    <n v="346"/>
    <x v="213"/>
    <s v="CUST346"/>
    <x v="0"/>
    <n v="59"/>
    <x v="1"/>
    <n v="2"/>
    <n v="500"/>
    <n v="1000"/>
  </r>
  <r>
    <n v="347"/>
    <x v="25"/>
    <s v="CUST347"/>
    <x v="0"/>
    <n v="42"/>
    <x v="2"/>
    <n v="1"/>
    <n v="25"/>
    <n v="25"/>
  </r>
  <r>
    <n v="348"/>
    <x v="221"/>
    <s v="CUST348"/>
    <x v="1"/>
    <n v="35"/>
    <x v="2"/>
    <n v="2"/>
    <n v="300"/>
    <n v="600"/>
  </r>
  <r>
    <n v="349"/>
    <x v="103"/>
    <s v="CUST349"/>
    <x v="1"/>
    <n v="57"/>
    <x v="0"/>
    <n v="1"/>
    <n v="50"/>
    <n v="50"/>
  </r>
  <r>
    <n v="350"/>
    <x v="222"/>
    <s v="CUST350"/>
    <x v="0"/>
    <n v="25"/>
    <x v="0"/>
    <n v="3"/>
    <n v="25"/>
    <n v="75"/>
  </r>
  <r>
    <n v="351"/>
    <x v="223"/>
    <s v="CUST351"/>
    <x v="1"/>
    <n v="56"/>
    <x v="1"/>
    <n v="3"/>
    <n v="30"/>
    <n v="90"/>
  </r>
  <r>
    <n v="352"/>
    <x v="86"/>
    <s v="CUST352"/>
    <x v="0"/>
    <n v="57"/>
    <x v="2"/>
    <n v="2"/>
    <n v="500"/>
    <n v="1000"/>
  </r>
  <r>
    <n v="353"/>
    <x v="224"/>
    <s v="CUST353"/>
    <x v="0"/>
    <n v="31"/>
    <x v="2"/>
    <n v="1"/>
    <n v="500"/>
    <n v="500"/>
  </r>
  <r>
    <n v="354"/>
    <x v="225"/>
    <s v="CUST354"/>
    <x v="1"/>
    <n v="49"/>
    <x v="0"/>
    <n v="4"/>
    <n v="50"/>
    <n v="200"/>
  </r>
  <r>
    <n v="355"/>
    <x v="174"/>
    <s v="CUST355"/>
    <x v="1"/>
    <n v="55"/>
    <x v="2"/>
    <n v="1"/>
    <n v="500"/>
    <n v="500"/>
  </r>
  <r>
    <n v="356"/>
    <x v="210"/>
    <s v="CUST356"/>
    <x v="0"/>
    <n v="50"/>
    <x v="2"/>
    <n v="3"/>
    <n v="500"/>
    <n v="1500"/>
  </r>
  <r>
    <n v="357"/>
    <x v="143"/>
    <s v="CUST357"/>
    <x v="1"/>
    <n v="40"/>
    <x v="2"/>
    <n v="3"/>
    <n v="25"/>
    <n v="75"/>
  </r>
  <r>
    <n v="358"/>
    <x v="42"/>
    <s v="CUST358"/>
    <x v="1"/>
    <n v="32"/>
    <x v="0"/>
    <n v="1"/>
    <n v="300"/>
    <n v="300"/>
  </r>
  <r>
    <n v="359"/>
    <x v="94"/>
    <s v="CUST359"/>
    <x v="0"/>
    <n v="50"/>
    <x v="1"/>
    <n v="1"/>
    <n v="50"/>
    <n v="50"/>
  </r>
  <r>
    <n v="360"/>
    <x v="176"/>
    <s v="CUST360"/>
    <x v="0"/>
    <n v="42"/>
    <x v="1"/>
    <n v="4"/>
    <n v="25"/>
    <n v="100"/>
  </r>
  <r>
    <n v="361"/>
    <x v="70"/>
    <s v="CUST361"/>
    <x v="1"/>
    <n v="34"/>
    <x v="2"/>
    <n v="4"/>
    <n v="300"/>
    <n v="1200"/>
  </r>
  <r>
    <n v="362"/>
    <x v="188"/>
    <s v="CUST362"/>
    <x v="0"/>
    <n v="50"/>
    <x v="1"/>
    <n v="1"/>
    <n v="25"/>
    <n v="25"/>
  </r>
  <r>
    <n v="363"/>
    <x v="226"/>
    <s v="CUST363"/>
    <x v="0"/>
    <n v="64"/>
    <x v="0"/>
    <n v="1"/>
    <n v="25"/>
    <n v="25"/>
  </r>
  <r>
    <n v="364"/>
    <x v="96"/>
    <s v="CUST364"/>
    <x v="1"/>
    <n v="19"/>
    <x v="0"/>
    <n v="1"/>
    <n v="500"/>
    <n v="500"/>
  </r>
  <r>
    <n v="365"/>
    <x v="86"/>
    <s v="CUST365"/>
    <x v="0"/>
    <n v="31"/>
    <x v="1"/>
    <n v="1"/>
    <n v="300"/>
    <n v="300"/>
  </r>
  <r>
    <n v="366"/>
    <x v="227"/>
    <s v="CUST366"/>
    <x v="0"/>
    <n v="57"/>
    <x v="1"/>
    <n v="2"/>
    <n v="50"/>
    <n v="100"/>
  </r>
  <r>
    <n v="367"/>
    <x v="228"/>
    <s v="CUST367"/>
    <x v="1"/>
    <n v="57"/>
    <x v="2"/>
    <n v="1"/>
    <n v="50"/>
    <n v="50"/>
  </r>
  <r>
    <n v="368"/>
    <x v="96"/>
    <s v="CUST368"/>
    <x v="1"/>
    <n v="56"/>
    <x v="1"/>
    <n v="4"/>
    <n v="300"/>
    <n v="1200"/>
  </r>
  <r>
    <n v="369"/>
    <x v="229"/>
    <s v="CUST369"/>
    <x v="0"/>
    <n v="23"/>
    <x v="2"/>
    <n v="3"/>
    <n v="500"/>
    <n v="1500"/>
  </r>
  <r>
    <n v="370"/>
    <x v="230"/>
    <s v="CUST370"/>
    <x v="0"/>
    <n v="23"/>
    <x v="2"/>
    <n v="2"/>
    <n v="30"/>
    <n v="60"/>
  </r>
  <r>
    <n v="371"/>
    <x v="62"/>
    <s v="CUST371"/>
    <x v="1"/>
    <n v="20"/>
    <x v="0"/>
    <n v="1"/>
    <n v="25"/>
    <n v="25"/>
  </r>
  <r>
    <n v="372"/>
    <x v="227"/>
    <s v="CUST372"/>
    <x v="1"/>
    <n v="24"/>
    <x v="0"/>
    <n v="3"/>
    <n v="500"/>
    <n v="1500"/>
  </r>
  <r>
    <n v="373"/>
    <x v="99"/>
    <s v="CUST373"/>
    <x v="1"/>
    <n v="25"/>
    <x v="0"/>
    <n v="2"/>
    <n v="300"/>
    <n v="600"/>
  </r>
  <r>
    <n v="374"/>
    <x v="175"/>
    <s v="CUST374"/>
    <x v="1"/>
    <n v="59"/>
    <x v="0"/>
    <n v="3"/>
    <n v="25"/>
    <n v="75"/>
  </r>
  <r>
    <n v="375"/>
    <x v="129"/>
    <s v="CUST375"/>
    <x v="0"/>
    <n v="32"/>
    <x v="1"/>
    <n v="1"/>
    <n v="50"/>
    <n v="50"/>
  </r>
  <r>
    <n v="376"/>
    <x v="42"/>
    <s v="CUST376"/>
    <x v="1"/>
    <n v="64"/>
    <x v="0"/>
    <n v="1"/>
    <n v="30"/>
    <n v="30"/>
  </r>
  <r>
    <n v="377"/>
    <x v="176"/>
    <s v="CUST377"/>
    <x v="1"/>
    <n v="46"/>
    <x v="1"/>
    <n v="4"/>
    <n v="50"/>
    <n v="200"/>
  </r>
  <r>
    <n v="378"/>
    <x v="231"/>
    <s v="CUST378"/>
    <x v="0"/>
    <n v="50"/>
    <x v="0"/>
    <n v="1"/>
    <n v="300"/>
    <n v="300"/>
  </r>
  <r>
    <n v="379"/>
    <x v="57"/>
    <s v="CUST379"/>
    <x v="1"/>
    <n v="47"/>
    <x v="1"/>
    <n v="1"/>
    <n v="25"/>
    <n v="25"/>
  </r>
  <r>
    <n v="380"/>
    <x v="4"/>
    <s v="CUST380"/>
    <x v="0"/>
    <n v="56"/>
    <x v="2"/>
    <n v="2"/>
    <n v="300"/>
    <n v="600"/>
  </r>
  <r>
    <n v="381"/>
    <x v="67"/>
    <s v="CUST381"/>
    <x v="1"/>
    <n v="44"/>
    <x v="1"/>
    <n v="4"/>
    <n v="25"/>
    <n v="100"/>
  </r>
  <r>
    <n v="382"/>
    <x v="232"/>
    <s v="CUST382"/>
    <x v="1"/>
    <n v="53"/>
    <x v="1"/>
    <n v="2"/>
    <n v="500"/>
    <n v="1000"/>
  </r>
  <r>
    <n v="383"/>
    <x v="125"/>
    <s v="CUST383"/>
    <x v="1"/>
    <n v="46"/>
    <x v="0"/>
    <n v="3"/>
    <n v="30"/>
    <n v="90"/>
  </r>
  <r>
    <n v="384"/>
    <x v="160"/>
    <s v="CUST384"/>
    <x v="0"/>
    <n v="55"/>
    <x v="1"/>
    <n v="1"/>
    <n v="500"/>
    <n v="500"/>
  </r>
  <r>
    <n v="385"/>
    <x v="233"/>
    <s v="CUST385"/>
    <x v="0"/>
    <n v="50"/>
    <x v="2"/>
    <n v="3"/>
    <n v="500"/>
    <n v="1500"/>
  </r>
  <r>
    <n v="386"/>
    <x v="56"/>
    <s v="CUST386"/>
    <x v="1"/>
    <n v="54"/>
    <x v="2"/>
    <n v="2"/>
    <n v="300"/>
    <n v="600"/>
  </r>
  <r>
    <n v="387"/>
    <x v="234"/>
    <s v="CUST387"/>
    <x v="0"/>
    <n v="44"/>
    <x v="0"/>
    <n v="1"/>
    <n v="30"/>
    <n v="30"/>
  </r>
  <r>
    <n v="388"/>
    <x v="235"/>
    <s v="CUST388"/>
    <x v="0"/>
    <n v="50"/>
    <x v="2"/>
    <n v="1"/>
    <n v="25"/>
    <n v="25"/>
  </r>
  <r>
    <n v="389"/>
    <x v="187"/>
    <s v="CUST389"/>
    <x v="0"/>
    <n v="21"/>
    <x v="1"/>
    <n v="2"/>
    <n v="25"/>
    <n v="50"/>
  </r>
  <r>
    <n v="390"/>
    <x v="118"/>
    <s v="CUST390"/>
    <x v="0"/>
    <n v="39"/>
    <x v="2"/>
    <n v="2"/>
    <n v="50"/>
    <n v="100"/>
  </r>
  <r>
    <n v="391"/>
    <x v="228"/>
    <s v="CUST391"/>
    <x v="0"/>
    <n v="19"/>
    <x v="0"/>
    <n v="2"/>
    <n v="25"/>
    <n v="50"/>
  </r>
  <r>
    <n v="392"/>
    <x v="236"/>
    <s v="CUST392"/>
    <x v="0"/>
    <n v="27"/>
    <x v="1"/>
    <n v="2"/>
    <n v="300"/>
    <n v="600"/>
  </r>
  <r>
    <n v="393"/>
    <x v="120"/>
    <s v="CUST393"/>
    <x v="1"/>
    <n v="22"/>
    <x v="0"/>
    <n v="2"/>
    <n v="500"/>
    <n v="1000"/>
  </r>
  <r>
    <n v="394"/>
    <x v="226"/>
    <s v="CUST394"/>
    <x v="1"/>
    <n v="27"/>
    <x v="1"/>
    <n v="1"/>
    <n v="500"/>
    <n v="500"/>
  </r>
  <r>
    <n v="395"/>
    <x v="237"/>
    <s v="CUST395"/>
    <x v="0"/>
    <n v="50"/>
    <x v="2"/>
    <n v="2"/>
    <n v="500"/>
    <n v="1000"/>
  </r>
  <r>
    <n v="396"/>
    <x v="238"/>
    <s v="CUST396"/>
    <x v="1"/>
    <n v="55"/>
    <x v="0"/>
    <n v="1"/>
    <n v="30"/>
    <n v="30"/>
  </r>
  <r>
    <n v="397"/>
    <x v="239"/>
    <s v="CUST397"/>
    <x v="1"/>
    <n v="30"/>
    <x v="0"/>
    <n v="1"/>
    <n v="25"/>
    <n v="25"/>
  </r>
  <r>
    <n v="398"/>
    <x v="42"/>
    <s v="CUST398"/>
    <x v="1"/>
    <n v="48"/>
    <x v="1"/>
    <n v="2"/>
    <n v="300"/>
    <n v="600"/>
  </r>
  <r>
    <n v="399"/>
    <x v="240"/>
    <s v="CUST399"/>
    <x v="1"/>
    <n v="64"/>
    <x v="0"/>
    <n v="2"/>
    <n v="30"/>
    <n v="60"/>
  </r>
  <r>
    <n v="400"/>
    <x v="130"/>
    <s v="CUST400"/>
    <x v="0"/>
    <n v="53"/>
    <x v="1"/>
    <n v="4"/>
    <n v="50"/>
    <n v="200"/>
  </r>
  <r>
    <n v="401"/>
    <x v="120"/>
    <s v="CUST401"/>
    <x v="1"/>
    <n v="62"/>
    <x v="1"/>
    <n v="1"/>
    <n v="300"/>
    <n v="300"/>
  </r>
  <r>
    <n v="402"/>
    <x v="34"/>
    <s v="CUST402"/>
    <x v="1"/>
    <n v="41"/>
    <x v="1"/>
    <n v="2"/>
    <n v="300"/>
    <n v="600"/>
  </r>
  <r>
    <n v="403"/>
    <x v="241"/>
    <s v="CUST403"/>
    <x v="0"/>
    <n v="32"/>
    <x v="1"/>
    <n v="2"/>
    <n v="300"/>
    <n v="600"/>
  </r>
  <r>
    <n v="404"/>
    <x v="242"/>
    <s v="CUST404"/>
    <x v="0"/>
    <n v="46"/>
    <x v="2"/>
    <n v="2"/>
    <n v="500"/>
    <n v="1000"/>
  </r>
  <r>
    <n v="405"/>
    <x v="41"/>
    <s v="CUST405"/>
    <x v="1"/>
    <n v="25"/>
    <x v="1"/>
    <n v="4"/>
    <n v="300"/>
    <n v="1200"/>
  </r>
  <r>
    <n v="406"/>
    <x v="69"/>
    <s v="CUST406"/>
    <x v="1"/>
    <n v="22"/>
    <x v="0"/>
    <n v="4"/>
    <n v="25"/>
    <n v="100"/>
  </r>
  <r>
    <n v="407"/>
    <x v="243"/>
    <s v="CUST407"/>
    <x v="1"/>
    <n v="46"/>
    <x v="2"/>
    <n v="3"/>
    <n v="300"/>
    <n v="900"/>
  </r>
  <r>
    <n v="408"/>
    <x v="225"/>
    <s v="CUST408"/>
    <x v="1"/>
    <n v="64"/>
    <x v="0"/>
    <n v="1"/>
    <n v="500"/>
    <n v="500"/>
  </r>
  <r>
    <n v="409"/>
    <x v="244"/>
    <s v="CUST409"/>
    <x v="1"/>
    <n v="21"/>
    <x v="2"/>
    <n v="3"/>
    <n v="300"/>
    <n v="900"/>
  </r>
  <r>
    <n v="410"/>
    <x v="245"/>
    <s v="CUST410"/>
    <x v="1"/>
    <n v="29"/>
    <x v="1"/>
    <n v="2"/>
    <n v="50"/>
    <n v="100"/>
  </r>
  <r>
    <n v="411"/>
    <x v="42"/>
    <s v="CUST411"/>
    <x v="0"/>
    <n v="62"/>
    <x v="2"/>
    <n v="4"/>
    <n v="50"/>
    <n v="200"/>
  </r>
  <r>
    <n v="412"/>
    <x v="18"/>
    <s v="CUST412"/>
    <x v="1"/>
    <n v="19"/>
    <x v="2"/>
    <n v="4"/>
    <n v="500"/>
    <n v="2000"/>
  </r>
  <r>
    <n v="413"/>
    <x v="140"/>
    <s v="CUST413"/>
    <x v="1"/>
    <n v="44"/>
    <x v="0"/>
    <n v="3"/>
    <n v="25"/>
    <n v="75"/>
  </r>
  <r>
    <n v="414"/>
    <x v="119"/>
    <s v="CUST414"/>
    <x v="0"/>
    <n v="48"/>
    <x v="0"/>
    <n v="4"/>
    <n v="25"/>
    <n v="100"/>
  </r>
  <r>
    <n v="415"/>
    <x v="246"/>
    <s v="CUST415"/>
    <x v="0"/>
    <n v="53"/>
    <x v="1"/>
    <n v="2"/>
    <n v="30"/>
    <n v="60"/>
  </r>
  <r>
    <n v="416"/>
    <x v="15"/>
    <s v="CUST416"/>
    <x v="0"/>
    <n v="53"/>
    <x v="2"/>
    <n v="4"/>
    <n v="500"/>
    <n v="2000"/>
  </r>
  <r>
    <n v="417"/>
    <x v="245"/>
    <s v="CUST417"/>
    <x v="0"/>
    <n v="43"/>
    <x v="2"/>
    <n v="3"/>
    <n v="300"/>
    <n v="900"/>
  </r>
  <r>
    <n v="418"/>
    <x v="12"/>
    <s v="CUST418"/>
    <x v="1"/>
    <n v="60"/>
    <x v="2"/>
    <n v="2"/>
    <n v="500"/>
    <n v="1000"/>
  </r>
  <r>
    <n v="419"/>
    <x v="247"/>
    <s v="CUST419"/>
    <x v="1"/>
    <n v="44"/>
    <x v="1"/>
    <n v="3"/>
    <n v="30"/>
    <n v="90"/>
  </r>
  <r>
    <n v="420"/>
    <x v="43"/>
    <s v="CUST420"/>
    <x v="1"/>
    <n v="22"/>
    <x v="1"/>
    <n v="4"/>
    <n v="500"/>
    <n v="2000"/>
  </r>
  <r>
    <n v="421"/>
    <x v="126"/>
    <s v="CUST421"/>
    <x v="1"/>
    <n v="37"/>
    <x v="1"/>
    <n v="3"/>
    <n v="500"/>
    <n v="1500"/>
  </r>
  <r>
    <n v="422"/>
    <x v="248"/>
    <s v="CUST422"/>
    <x v="1"/>
    <n v="28"/>
    <x v="1"/>
    <n v="3"/>
    <n v="30"/>
    <n v="90"/>
  </r>
  <r>
    <n v="423"/>
    <x v="249"/>
    <s v="CUST423"/>
    <x v="1"/>
    <n v="27"/>
    <x v="1"/>
    <n v="1"/>
    <n v="25"/>
    <n v="25"/>
  </r>
  <r>
    <n v="424"/>
    <x v="250"/>
    <s v="CUST424"/>
    <x v="0"/>
    <n v="57"/>
    <x v="0"/>
    <n v="4"/>
    <n v="300"/>
    <n v="1200"/>
  </r>
  <r>
    <n v="425"/>
    <x v="100"/>
    <s v="CUST425"/>
    <x v="1"/>
    <n v="55"/>
    <x v="2"/>
    <n v="4"/>
    <n v="30"/>
    <n v="120"/>
  </r>
  <r>
    <n v="426"/>
    <x v="134"/>
    <s v="CUST426"/>
    <x v="0"/>
    <n v="23"/>
    <x v="2"/>
    <n v="3"/>
    <n v="50"/>
    <n v="150"/>
  </r>
  <r>
    <n v="427"/>
    <x v="196"/>
    <s v="CUST427"/>
    <x v="0"/>
    <n v="25"/>
    <x v="2"/>
    <n v="1"/>
    <n v="25"/>
    <n v="25"/>
  </r>
  <r>
    <n v="428"/>
    <x v="49"/>
    <s v="CUST428"/>
    <x v="1"/>
    <n v="40"/>
    <x v="2"/>
    <n v="4"/>
    <n v="50"/>
    <n v="200"/>
  </r>
  <r>
    <n v="429"/>
    <x v="251"/>
    <s v="CUST429"/>
    <x v="0"/>
    <n v="64"/>
    <x v="2"/>
    <n v="2"/>
    <n v="25"/>
    <n v="50"/>
  </r>
  <r>
    <n v="430"/>
    <x v="252"/>
    <s v="CUST430"/>
    <x v="1"/>
    <n v="43"/>
    <x v="2"/>
    <n v="3"/>
    <n v="300"/>
    <n v="900"/>
  </r>
  <r>
    <n v="431"/>
    <x v="21"/>
    <s v="CUST431"/>
    <x v="0"/>
    <n v="63"/>
    <x v="2"/>
    <n v="4"/>
    <n v="300"/>
    <n v="1200"/>
  </r>
  <r>
    <n v="432"/>
    <x v="228"/>
    <s v="CUST432"/>
    <x v="1"/>
    <n v="60"/>
    <x v="2"/>
    <n v="2"/>
    <n v="500"/>
    <n v="1000"/>
  </r>
  <r>
    <n v="433"/>
    <x v="1"/>
    <s v="CUST433"/>
    <x v="0"/>
    <n v="29"/>
    <x v="0"/>
    <n v="4"/>
    <n v="50"/>
    <n v="200"/>
  </r>
  <r>
    <n v="434"/>
    <x v="195"/>
    <s v="CUST434"/>
    <x v="1"/>
    <n v="43"/>
    <x v="2"/>
    <n v="2"/>
    <n v="25"/>
    <n v="50"/>
  </r>
  <r>
    <n v="435"/>
    <x v="156"/>
    <s v="CUST435"/>
    <x v="1"/>
    <n v="30"/>
    <x v="0"/>
    <n v="3"/>
    <n v="300"/>
    <n v="900"/>
  </r>
  <r>
    <n v="436"/>
    <x v="253"/>
    <s v="CUST436"/>
    <x v="1"/>
    <n v="57"/>
    <x v="1"/>
    <n v="4"/>
    <n v="30"/>
    <n v="120"/>
  </r>
  <r>
    <n v="437"/>
    <x v="9"/>
    <s v="CUST437"/>
    <x v="1"/>
    <n v="35"/>
    <x v="2"/>
    <n v="4"/>
    <n v="300"/>
    <n v="1200"/>
  </r>
  <r>
    <n v="438"/>
    <x v="254"/>
    <s v="CUST438"/>
    <x v="1"/>
    <n v="42"/>
    <x v="1"/>
    <n v="1"/>
    <n v="30"/>
    <n v="30"/>
  </r>
  <r>
    <n v="439"/>
    <x v="67"/>
    <s v="CUST439"/>
    <x v="0"/>
    <n v="50"/>
    <x v="1"/>
    <n v="3"/>
    <n v="25"/>
    <n v="75"/>
  </r>
  <r>
    <n v="440"/>
    <x v="103"/>
    <s v="CUST440"/>
    <x v="0"/>
    <n v="64"/>
    <x v="1"/>
    <n v="2"/>
    <n v="300"/>
    <n v="600"/>
  </r>
  <r>
    <n v="441"/>
    <x v="49"/>
    <s v="CUST441"/>
    <x v="0"/>
    <n v="57"/>
    <x v="0"/>
    <n v="4"/>
    <n v="300"/>
    <n v="1200"/>
  </r>
  <r>
    <n v="442"/>
    <x v="255"/>
    <s v="CUST442"/>
    <x v="1"/>
    <n v="60"/>
    <x v="1"/>
    <n v="4"/>
    <n v="25"/>
    <n v="100"/>
  </r>
  <r>
    <n v="443"/>
    <x v="183"/>
    <s v="CUST443"/>
    <x v="0"/>
    <n v="29"/>
    <x v="1"/>
    <n v="2"/>
    <n v="300"/>
    <n v="600"/>
  </r>
  <r>
    <n v="444"/>
    <x v="150"/>
    <s v="CUST444"/>
    <x v="1"/>
    <n v="61"/>
    <x v="1"/>
    <n v="3"/>
    <n v="30"/>
    <n v="90"/>
  </r>
  <r>
    <n v="445"/>
    <x v="256"/>
    <s v="CUST445"/>
    <x v="1"/>
    <n v="53"/>
    <x v="2"/>
    <n v="1"/>
    <n v="300"/>
    <n v="300"/>
  </r>
  <r>
    <n v="446"/>
    <x v="142"/>
    <s v="CUST446"/>
    <x v="0"/>
    <n v="21"/>
    <x v="2"/>
    <n v="1"/>
    <n v="50"/>
    <n v="50"/>
  </r>
  <r>
    <n v="447"/>
    <x v="65"/>
    <s v="CUST447"/>
    <x v="0"/>
    <n v="22"/>
    <x v="0"/>
    <n v="4"/>
    <n v="500"/>
    <n v="2000"/>
  </r>
  <r>
    <n v="448"/>
    <x v="219"/>
    <s v="CUST448"/>
    <x v="1"/>
    <n v="54"/>
    <x v="0"/>
    <n v="2"/>
    <n v="30"/>
    <n v="60"/>
  </r>
  <r>
    <n v="449"/>
    <x v="39"/>
    <s v="CUST449"/>
    <x v="0"/>
    <n v="25"/>
    <x v="2"/>
    <n v="4"/>
    <n v="50"/>
    <n v="200"/>
  </r>
  <r>
    <n v="450"/>
    <x v="69"/>
    <s v="CUST450"/>
    <x v="1"/>
    <n v="59"/>
    <x v="0"/>
    <n v="2"/>
    <n v="25"/>
    <n v="50"/>
  </r>
  <r>
    <n v="451"/>
    <x v="72"/>
    <s v="CUST451"/>
    <x v="1"/>
    <n v="45"/>
    <x v="2"/>
    <n v="1"/>
    <n v="30"/>
    <n v="30"/>
  </r>
  <r>
    <n v="452"/>
    <x v="193"/>
    <s v="CUST452"/>
    <x v="1"/>
    <n v="48"/>
    <x v="1"/>
    <n v="3"/>
    <n v="500"/>
    <n v="1500"/>
  </r>
  <r>
    <n v="453"/>
    <x v="236"/>
    <s v="CUST453"/>
    <x v="1"/>
    <n v="26"/>
    <x v="1"/>
    <n v="2"/>
    <n v="500"/>
    <n v="1000"/>
  </r>
  <r>
    <n v="454"/>
    <x v="7"/>
    <s v="CUST454"/>
    <x v="1"/>
    <n v="46"/>
    <x v="0"/>
    <n v="1"/>
    <n v="25"/>
    <n v="25"/>
  </r>
  <r>
    <n v="455"/>
    <x v="68"/>
    <s v="CUST455"/>
    <x v="0"/>
    <n v="31"/>
    <x v="2"/>
    <n v="4"/>
    <n v="25"/>
    <n v="100"/>
  </r>
  <r>
    <n v="456"/>
    <x v="257"/>
    <s v="CUST456"/>
    <x v="0"/>
    <n v="57"/>
    <x v="2"/>
    <n v="2"/>
    <n v="30"/>
    <n v="60"/>
  </r>
  <r>
    <n v="457"/>
    <x v="180"/>
    <s v="CUST457"/>
    <x v="1"/>
    <n v="58"/>
    <x v="0"/>
    <n v="3"/>
    <n v="300"/>
    <n v="900"/>
  </r>
  <r>
    <n v="458"/>
    <x v="220"/>
    <s v="CUST458"/>
    <x v="1"/>
    <n v="39"/>
    <x v="2"/>
    <n v="4"/>
    <n v="25"/>
    <n v="100"/>
  </r>
  <r>
    <n v="459"/>
    <x v="34"/>
    <s v="CUST459"/>
    <x v="0"/>
    <n v="28"/>
    <x v="1"/>
    <n v="4"/>
    <n v="300"/>
    <n v="1200"/>
  </r>
  <r>
    <n v="460"/>
    <x v="173"/>
    <s v="CUST460"/>
    <x v="0"/>
    <n v="40"/>
    <x v="0"/>
    <n v="1"/>
    <n v="50"/>
    <n v="50"/>
  </r>
  <r>
    <n v="461"/>
    <x v="66"/>
    <s v="CUST461"/>
    <x v="1"/>
    <n v="18"/>
    <x v="0"/>
    <n v="2"/>
    <n v="500"/>
    <n v="1000"/>
  </r>
  <r>
    <n v="462"/>
    <x v="258"/>
    <s v="CUST462"/>
    <x v="0"/>
    <n v="63"/>
    <x v="2"/>
    <n v="4"/>
    <n v="300"/>
    <n v="1200"/>
  </r>
  <r>
    <n v="463"/>
    <x v="259"/>
    <s v="CUST463"/>
    <x v="1"/>
    <n v="54"/>
    <x v="0"/>
    <n v="3"/>
    <n v="500"/>
    <n v="1500"/>
  </r>
  <r>
    <n v="464"/>
    <x v="2"/>
    <s v="CUST464"/>
    <x v="0"/>
    <n v="38"/>
    <x v="2"/>
    <n v="2"/>
    <n v="300"/>
    <n v="600"/>
  </r>
  <r>
    <n v="465"/>
    <x v="128"/>
    <s v="CUST465"/>
    <x v="1"/>
    <n v="43"/>
    <x v="2"/>
    <n v="3"/>
    <n v="50"/>
    <n v="150"/>
  </r>
  <r>
    <n v="466"/>
    <x v="248"/>
    <s v="CUST466"/>
    <x v="0"/>
    <n v="63"/>
    <x v="2"/>
    <n v="4"/>
    <n v="25"/>
    <n v="100"/>
  </r>
  <r>
    <n v="467"/>
    <x v="184"/>
    <s v="CUST467"/>
    <x v="1"/>
    <n v="53"/>
    <x v="2"/>
    <n v="3"/>
    <n v="50"/>
    <n v="150"/>
  </r>
  <r>
    <n v="468"/>
    <x v="174"/>
    <s v="CUST468"/>
    <x v="0"/>
    <n v="40"/>
    <x v="2"/>
    <n v="1"/>
    <n v="25"/>
    <n v="25"/>
  </r>
  <r>
    <n v="469"/>
    <x v="193"/>
    <s v="CUST469"/>
    <x v="0"/>
    <n v="18"/>
    <x v="0"/>
    <n v="3"/>
    <n v="25"/>
    <n v="75"/>
  </r>
  <r>
    <n v="470"/>
    <x v="71"/>
    <s v="CUST470"/>
    <x v="1"/>
    <n v="57"/>
    <x v="1"/>
    <n v="2"/>
    <n v="500"/>
    <n v="1000"/>
  </r>
  <r>
    <n v="471"/>
    <x v="31"/>
    <s v="CUST471"/>
    <x v="0"/>
    <n v="32"/>
    <x v="1"/>
    <n v="3"/>
    <n v="50"/>
    <n v="150"/>
  </r>
  <r>
    <n v="472"/>
    <x v="24"/>
    <s v="CUST472"/>
    <x v="1"/>
    <n v="38"/>
    <x v="0"/>
    <n v="3"/>
    <n v="300"/>
    <n v="900"/>
  </r>
  <r>
    <n v="473"/>
    <x v="192"/>
    <s v="CUST473"/>
    <x v="0"/>
    <n v="64"/>
    <x v="0"/>
    <n v="1"/>
    <n v="50"/>
    <n v="50"/>
  </r>
  <r>
    <n v="474"/>
    <x v="116"/>
    <s v="CUST474"/>
    <x v="1"/>
    <n v="26"/>
    <x v="1"/>
    <n v="3"/>
    <n v="500"/>
    <n v="1500"/>
  </r>
  <r>
    <n v="475"/>
    <x v="260"/>
    <s v="CUST475"/>
    <x v="0"/>
    <n v="26"/>
    <x v="1"/>
    <n v="3"/>
    <n v="25"/>
    <n v="75"/>
  </r>
  <r>
    <n v="476"/>
    <x v="261"/>
    <s v="CUST476"/>
    <x v="1"/>
    <n v="27"/>
    <x v="1"/>
    <n v="4"/>
    <n v="500"/>
    <n v="2000"/>
  </r>
  <r>
    <n v="477"/>
    <x v="262"/>
    <s v="CUST477"/>
    <x v="0"/>
    <n v="43"/>
    <x v="1"/>
    <n v="4"/>
    <n v="30"/>
    <n v="120"/>
  </r>
  <r>
    <n v="478"/>
    <x v="157"/>
    <s v="CUST478"/>
    <x v="1"/>
    <n v="58"/>
    <x v="1"/>
    <n v="2"/>
    <n v="30"/>
    <n v="60"/>
  </r>
  <r>
    <n v="479"/>
    <x v="44"/>
    <s v="CUST479"/>
    <x v="0"/>
    <n v="52"/>
    <x v="2"/>
    <n v="4"/>
    <n v="300"/>
    <n v="1200"/>
  </r>
  <r>
    <n v="480"/>
    <x v="263"/>
    <s v="CUST480"/>
    <x v="1"/>
    <n v="42"/>
    <x v="0"/>
    <n v="4"/>
    <n v="500"/>
    <n v="2000"/>
  </r>
  <r>
    <n v="481"/>
    <x v="264"/>
    <s v="CUST481"/>
    <x v="1"/>
    <n v="43"/>
    <x v="2"/>
    <n v="4"/>
    <n v="300"/>
    <n v="1200"/>
  </r>
  <r>
    <n v="482"/>
    <x v="60"/>
    <s v="CUST482"/>
    <x v="1"/>
    <n v="28"/>
    <x v="1"/>
    <n v="4"/>
    <n v="300"/>
    <n v="1200"/>
  </r>
  <r>
    <n v="483"/>
    <x v="5"/>
    <s v="CUST483"/>
    <x v="0"/>
    <n v="55"/>
    <x v="1"/>
    <n v="1"/>
    <n v="30"/>
    <n v="30"/>
  </r>
  <r>
    <n v="484"/>
    <x v="2"/>
    <s v="CUST484"/>
    <x v="1"/>
    <n v="19"/>
    <x v="1"/>
    <n v="4"/>
    <n v="300"/>
    <n v="1200"/>
  </r>
  <r>
    <n v="485"/>
    <x v="151"/>
    <s v="CUST485"/>
    <x v="0"/>
    <n v="24"/>
    <x v="2"/>
    <n v="1"/>
    <n v="30"/>
    <n v="30"/>
  </r>
  <r>
    <n v="486"/>
    <x v="55"/>
    <s v="CUST486"/>
    <x v="1"/>
    <n v="35"/>
    <x v="2"/>
    <n v="1"/>
    <n v="25"/>
    <n v="25"/>
  </r>
  <r>
    <n v="487"/>
    <x v="104"/>
    <s v="CUST487"/>
    <x v="0"/>
    <n v="44"/>
    <x v="1"/>
    <n v="4"/>
    <n v="500"/>
    <n v="2000"/>
  </r>
  <r>
    <n v="488"/>
    <x v="265"/>
    <s v="CUST488"/>
    <x v="1"/>
    <n v="51"/>
    <x v="2"/>
    <n v="3"/>
    <n v="300"/>
    <n v="900"/>
  </r>
  <r>
    <n v="489"/>
    <x v="29"/>
    <s v="CUST489"/>
    <x v="0"/>
    <n v="44"/>
    <x v="2"/>
    <n v="1"/>
    <n v="30"/>
    <n v="30"/>
  </r>
  <r>
    <n v="490"/>
    <x v="57"/>
    <s v="CUST490"/>
    <x v="0"/>
    <n v="34"/>
    <x v="1"/>
    <n v="3"/>
    <n v="50"/>
    <n v="150"/>
  </r>
  <r>
    <n v="491"/>
    <x v="29"/>
    <s v="CUST491"/>
    <x v="1"/>
    <n v="60"/>
    <x v="2"/>
    <n v="3"/>
    <n v="300"/>
    <n v="900"/>
  </r>
  <r>
    <n v="492"/>
    <x v="263"/>
    <s v="CUST492"/>
    <x v="0"/>
    <n v="61"/>
    <x v="0"/>
    <n v="4"/>
    <n v="25"/>
    <n v="100"/>
  </r>
  <r>
    <n v="493"/>
    <x v="123"/>
    <s v="CUST493"/>
    <x v="0"/>
    <n v="41"/>
    <x v="0"/>
    <n v="2"/>
    <n v="25"/>
    <n v="50"/>
  </r>
  <r>
    <n v="494"/>
    <x v="106"/>
    <s v="CUST494"/>
    <x v="1"/>
    <n v="42"/>
    <x v="0"/>
    <n v="4"/>
    <n v="50"/>
    <n v="200"/>
  </r>
  <r>
    <n v="495"/>
    <x v="104"/>
    <s v="CUST495"/>
    <x v="0"/>
    <n v="24"/>
    <x v="0"/>
    <n v="2"/>
    <n v="30"/>
    <n v="60"/>
  </r>
  <r>
    <n v="496"/>
    <x v="266"/>
    <s v="CUST496"/>
    <x v="0"/>
    <n v="23"/>
    <x v="1"/>
    <n v="2"/>
    <n v="300"/>
    <n v="600"/>
  </r>
  <r>
    <n v="497"/>
    <x v="45"/>
    <s v="CUST497"/>
    <x v="0"/>
    <n v="41"/>
    <x v="1"/>
    <n v="4"/>
    <n v="30"/>
    <n v="120"/>
  </r>
  <r>
    <n v="498"/>
    <x v="171"/>
    <s v="CUST498"/>
    <x v="1"/>
    <n v="50"/>
    <x v="1"/>
    <n v="4"/>
    <n v="25"/>
    <n v="100"/>
  </r>
  <r>
    <n v="499"/>
    <x v="267"/>
    <s v="CUST499"/>
    <x v="0"/>
    <n v="46"/>
    <x v="0"/>
    <n v="2"/>
    <n v="30"/>
    <n v="60"/>
  </r>
  <r>
    <n v="500"/>
    <x v="240"/>
    <s v="CUST500"/>
    <x v="1"/>
    <n v="60"/>
    <x v="0"/>
    <n v="4"/>
    <n v="25"/>
    <n v="100"/>
  </r>
  <r>
    <n v="501"/>
    <x v="224"/>
    <s v="CUST501"/>
    <x v="0"/>
    <n v="39"/>
    <x v="2"/>
    <n v="2"/>
    <n v="30"/>
    <n v="60"/>
  </r>
  <r>
    <n v="502"/>
    <x v="128"/>
    <s v="CUST502"/>
    <x v="0"/>
    <n v="43"/>
    <x v="2"/>
    <n v="3"/>
    <n v="50"/>
    <n v="150"/>
  </r>
  <r>
    <n v="503"/>
    <x v="268"/>
    <s v="CUST503"/>
    <x v="0"/>
    <n v="45"/>
    <x v="0"/>
    <n v="4"/>
    <n v="500"/>
    <n v="2000"/>
  </r>
  <r>
    <n v="504"/>
    <x v="42"/>
    <s v="CUST504"/>
    <x v="1"/>
    <n v="38"/>
    <x v="0"/>
    <n v="3"/>
    <n v="50"/>
    <n v="150"/>
  </r>
  <r>
    <n v="505"/>
    <x v="260"/>
    <s v="CUST505"/>
    <x v="0"/>
    <n v="24"/>
    <x v="0"/>
    <n v="1"/>
    <n v="50"/>
    <n v="50"/>
  </r>
  <r>
    <n v="506"/>
    <x v="192"/>
    <s v="CUST506"/>
    <x v="0"/>
    <n v="34"/>
    <x v="0"/>
    <n v="3"/>
    <n v="500"/>
    <n v="1500"/>
  </r>
  <r>
    <n v="507"/>
    <x v="113"/>
    <s v="CUST507"/>
    <x v="1"/>
    <n v="37"/>
    <x v="2"/>
    <n v="3"/>
    <n v="500"/>
    <n v="1500"/>
  </r>
  <r>
    <n v="508"/>
    <x v="124"/>
    <s v="CUST508"/>
    <x v="0"/>
    <n v="58"/>
    <x v="0"/>
    <n v="2"/>
    <n v="300"/>
    <n v="600"/>
  </r>
  <r>
    <n v="509"/>
    <x v="40"/>
    <s v="CUST509"/>
    <x v="1"/>
    <n v="37"/>
    <x v="2"/>
    <n v="3"/>
    <n v="300"/>
    <n v="900"/>
  </r>
  <r>
    <n v="510"/>
    <x v="210"/>
    <s v="CUST510"/>
    <x v="1"/>
    <n v="39"/>
    <x v="0"/>
    <n v="4"/>
    <n v="50"/>
    <n v="200"/>
  </r>
  <r>
    <n v="511"/>
    <x v="269"/>
    <s v="CUST511"/>
    <x v="0"/>
    <n v="45"/>
    <x v="0"/>
    <n v="2"/>
    <n v="50"/>
    <n v="100"/>
  </r>
  <r>
    <n v="512"/>
    <x v="155"/>
    <s v="CUST512"/>
    <x v="1"/>
    <n v="57"/>
    <x v="0"/>
    <n v="1"/>
    <n v="25"/>
    <n v="25"/>
  </r>
  <r>
    <n v="513"/>
    <x v="270"/>
    <s v="CUST513"/>
    <x v="0"/>
    <n v="24"/>
    <x v="2"/>
    <n v="4"/>
    <n v="25"/>
    <n v="100"/>
  </r>
  <r>
    <n v="514"/>
    <x v="240"/>
    <s v="CUST514"/>
    <x v="1"/>
    <n v="18"/>
    <x v="2"/>
    <n v="1"/>
    <n v="300"/>
    <n v="300"/>
  </r>
  <r>
    <n v="515"/>
    <x v="115"/>
    <s v="CUST515"/>
    <x v="1"/>
    <n v="49"/>
    <x v="1"/>
    <n v="3"/>
    <n v="300"/>
    <n v="900"/>
  </r>
  <r>
    <n v="516"/>
    <x v="54"/>
    <s v="CUST516"/>
    <x v="0"/>
    <n v="30"/>
    <x v="0"/>
    <n v="4"/>
    <n v="25"/>
    <n v="100"/>
  </r>
  <r>
    <n v="517"/>
    <x v="181"/>
    <s v="CUST517"/>
    <x v="1"/>
    <n v="47"/>
    <x v="1"/>
    <n v="4"/>
    <n v="25"/>
    <n v="100"/>
  </r>
  <r>
    <n v="518"/>
    <x v="271"/>
    <s v="CUST518"/>
    <x v="1"/>
    <n v="40"/>
    <x v="1"/>
    <n v="1"/>
    <n v="30"/>
    <n v="30"/>
  </r>
  <r>
    <n v="519"/>
    <x v="43"/>
    <s v="CUST519"/>
    <x v="1"/>
    <n v="36"/>
    <x v="2"/>
    <n v="4"/>
    <n v="30"/>
    <n v="120"/>
  </r>
  <r>
    <n v="520"/>
    <x v="167"/>
    <s v="CUST520"/>
    <x v="1"/>
    <n v="49"/>
    <x v="2"/>
    <n v="4"/>
    <n v="25"/>
    <n v="100"/>
  </r>
  <r>
    <n v="521"/>
    <x v="269"/>
    <s v="CUST521"/>
    <x v="1"/>
    <n v="47"/>
    <x v="1"/>
    <n v="4"/>
    <n v="30"/>
    <n v="120"/>
  </r>
  <r>
    <n v="522"/>
    <x v="137"/>
    <s v="CUST522"/>
    <x v="0"/>
    <n v="46"/>
    <x v="0"/>
    <n v="3"/>
    <n v="500"/>
    <n v="1500"/>
  </r>
  <r>
    <n v="523"/>
    <x v="272"/>
    <s v="CUST523"/>
    <x v="1"/>
    <n v="62"/>
    <x v="2"/>
    <n v="1"/>
    <n v="300"/>
    <n v="300"/>
  </r>
  <r>
    <n v="524"/>
    <x v="99"/>
    <s v="CUST524"/>
    <x v="0"/>
    <n v="46"/>
    <x v="0"/>
    <n v="4"/>
    <n v="300"/>
    <n v="1200"/>
  </r>
  <r>
    <n v="525"/>
    <x v="244"/>
    <s v="CUST525"/>
    <x v="1"/>
    <n v="47"/>
    <x v="0"/>
    <n v="2"/>
    <n v="25"/>
    <n v="50"/>
  </r>
  <r>
    <n v="526"/>
    <x v="70"/>
    <s v="CUST526"/>
    <x v="0"/>
    <n v="33"/>
    <x v="1"/>
    <n v="2"/>
    <n v="50"/>
    <n v="100"/>
  </r>
  <r>
    <n v="527"/>
    <x v="273"/>
    <s v="CUST527"/>
    <x v="0"/>
    <n v="57"/>
    <x v="1"/>
    <n v="2"/>
    <n v="25"/>
    <n v="50"/>
  </r>
  <r>
    <n v="528"/>
    <x v="65"/>
    <s v="CUST528"/>
    <x v="1"/>
    <n v="36"/>
    <x v="1"/>
    <n v="2"/>
    <n v="30"/>
    <n v="60"/>
  </r>
  <r>
    <n v="529"/>
    <x v="183"/>
    <s v="CUST529"/>
    <x v="1"/>
    <n v="35"/>
    <x v="1"/>
    <n v="3"/>
    <n v="50"/>
    <n v="150"/>
  </r>
  <r>
    <n v="530"/>
    <x v="57"/>
    <s v="CUST530"/>
    <x v="1"/>
    <n v="18"/>
    <x v="2"/>
    <n v="4"/>
    <n v="30"/>
    <n v="120"/>
  </r>
  <r>
    <n v="531"/>
    <x v="274"/>
    <s v="CUST531"/>
    <x v="0"/>
    <n v="31"/>
    <x v="2"/>
    <n v="1"/>
    <n v="500"/>
    <n v="500"/>
  </r>
  <r>
    <n v="532"/>
    <x v="171"/>
    <s v="CUST532"/>
    <x v="1"/>
    <n v="64"/>
    <x v="1"/>
    <n v="4"/>
    <n v="30"/>
    <n v="120"/>
  </r>
  <r>
    <n v="533"/>
    <x v="275"/>
    <s v="CUST533"/>
    <x v="0"/>
    <n v="19"/>
    <x v="2"/>
    <n v="3"/>
    <n v="500"/>
    <n v="1500"/>
  </r>
  <r>
    <n v="534"/>
    <x v="210"/>
    <s v="CUST534"/>
    <x v="0"/>
    <n v="45"/>
    <x v="1"/>
    <n v="2"/>
    <n v="500"/>
    <n v="1000"/>
  </r>
  <r>
    <n v="535"/>
    <x v="237"/>
    <s v="CUST535"/>
    <x v="0"/>
    <n v="47"/>
    <x v="0"/>
    <n v="3"/>
    <n v="30"/>
    <n v="90"/>
  </r>
  <r>
    <n v="536"/>
    <x v="46"/>
    <s v="CUST536"/>
    <x v="1"/>
    <n v="55"/>
    <x v="0"/>
    <n v="4"/>
    <n v="30"/>
    <n v="120"/>
  </r>
  <r>
    <n v="537"/>
    <x v="226"/>
    <s v="CUST537"/>
    <x v="1"/>
    <n v="21"/>
    <x v="0"/>
    <n v="1"/>
    <n v="500"/>
    <n v="500"/>
  </r>
  <r>
    <n v="538"/>
    <x v="129"/>
    <s v="CUST538"/>
    <x v="0"/>
    <n v="18"/>
    <x v="1"/>
    <n v="3"/>
    <n v="50"/>
    <n v="150"/>
  </r>
  <r>
    <n v="539"/>
    <x v="276"/>
    <s v="CUST539"/>
    <x v="0"/>
    <n v="25"/>
    <x v="0"/>
    <n v="1"/>
    <n v="500"/>
    <n v="500"/>
  </r>
  <r>
    <n v="540"/>
    <x v="236"/>
    <s v="CUST540"/>
    <x v="1"/>
    <n v="46"/>
    <x v="2"/>
    <n v="3"/>
    <n v="300"/>
    <n v="900"/>
  </r>
  <r>
    <n v="541"/>
    <x v="277"/>
    <s v="CUST541"/>
    <x v="0"/>
    <n v="56"/>
    <x v="0"/>
    <n v="1"/>
    <n v="500"/>
    <n v="500"/>
  </r>
  <r>
    <n v="542"/>
    <x v="278"/>
    <s v="CUST542"/>
    <x v="1"/>
    <n v="20"/>
    <x v="0"/>
    <n v="1"/>
    <n v="50"/>
    <n v="50"/>
  </r>
  <r>
    <n v="543"/>
    <x v="191"/>
    <s v="CUST543"/>
    <x v="0"/>
    <n v="49"/>
    <x v="0"/>
    <n v="2"/>
    <n v="300"/>
    <n v="600"/>
  </r>
  <r>
    <n v="544"/>
    <x v="204"/>
    <s v="CUST544"/>
    <x v="1"/>
    <n v="27"/>
    <x v="2"/>
    <n v="1"/>
    <n v="25"/>
    <n v="25"/>
  </r>
  <r>
    <n v="545"/>
    <x v="207"/>
    <s v="CUST545"/>
    <x v="0"/>
    <n v="27"/>
    <x v="1"/>
    <n v="2"/>
    <n v="25"/>
    <n v="50"/>
  </r>
  <r>
    <n v="546"/>
    <x v="120"/>
    <s v="CUST546"/>
    <x v="1"/>
    <n v="36"/>
    <x v="2"/>
    <n v="4"/>
    <n v="50"/>
    <n v="200"/>
  </r>
  <r>
    <n v="547"/>
    <x v="150"/>
    <s v="CUST547"/>
    <x v="0"/>
    <n v="63"/>
    <x v="1"/>
    <n v="4"/>
    <n v="500"/>
    <n v="2000"/>
  </r>
  <r>
    <n v="548"/>
    <x v="55"/>
    <s v="CUST548"/>
    <x v="1"/>
    <n v="51"/>
    <x v="1"/>
    <n v="2"/>
    <n v="30"/>
    <n v="60"/>
  </r>
  <r>
    <n v="549"/>
    <x v="279"/>
    <s v="CUST549"/>
    <x v="1"/>
    <n v="50"/>
    <x v="0"/>
    <n v="2"/>
    <n v="50"/>
    <n v="100"/>
  </r>
  <r>
    <n v="550"/>
    <x v="274"/>
    <s v="CUST550"/>
    <x v="0"/>
    <n v="40"/>
    <x v="1"/>
    <n v="3"/>
    <n v="300"/>
    <n v="900"/>
  </r>
  <r>
    <n v="551"/>
    <x v="37"/>
    <s v="CUST551"/>
    <x v="0"/>
    <n v="45"/>
    <x v="2"/>
    <n v="3"/>
    <n v="300"/>
    <n v="900"/>
  </r>
  <r>
    <n v="552"/>
    <x v="8"/>
    <s v="CUST552"/>
    <x v="1"/>
    <n v="49"/>
    <x v="2"/>
    <n v="3"/>
    <n v="25"/>
    <n v="75"/>
  </r>
  <r>
    <n v="553"/>
    <x v="280"/>
    <s v="CUST553"/>
    <x v="0"/>
    <n v="24"/>
    <x v="1"/>
    <n v="4"/>
    <n v="300"/>
    <n v="1200"/>
  </r>
  <r>
    <n v="554"/>
    <x v="281"/>
    <s v="CUST554"/>
    <x v="1"/>
    <n v="46"/>
    <x v="0"/>
    <n v="3"/>
    <n v="50"/>
    <n v="150"/>
  </r>
  <r>
    <n v="555"/>
    <x v="218"/>
    <s v="CUST555"/>
    <x v="0"/>
    <n v="25"/>
    <x v="0"/>
    <n v="1"/>
    <n v="300"/>
    <n v="300"/>
  </r>
  <r>
    <n v="556"/>
    <x v="234"/>
    <s v="CUST556"/>
    <x v="1"/>
    <n v="18"/>
    <x v="2"/>
    <n v="1"/>
    <n v="50"/>
    <n v="50"/>
  </r>
  <r>
    <n v="557"/>
    <x v="282"/>
    <s v="CUST557"/>
    <x v="1"/>
    <n v="20"/>
    <x v="0"/>
    <n v="3"/>
    <n v="30"/>
    <n v="90"/>
  </r>
  <r>
    <n v="558"/>
    <x v="283"/>
    <s v="CUST558"/>
    <x v="1"/>
    <n v="41"/>
    <x v="1"/>
    <n v="1"/>
    <n v="25"/>
    <n v="25"/>
  </r>
  <r>
    <n v="559"/>
    <x v="137"/>
    <s v="CUST559"/>
    <x v="1"/>
    <n v="40"/>
    <x v="1"/>
    <n v="4"/>
    <n v="300"/>
    <n v="1200"/>
  </r>
  <r>
    <n v="560"/>
    <x v="284"/>
    <s v="CUST560"/>
    <x v="1"/>
    <n v="25"/>
    <x v="2"/>
    <n v="1"/>
    <n v="50"/>
    <n v="50"/>
  </r>
  <r>
    <n v="561"/>
    <x v="203"/>
    <s v="CUST561"/>
    <x v="1"/>
    <n v="64"/>
    <x v="1"/>
    <n v="4"/>
    <n v="500"/>
    <n v="2000"/>
  </r>
  <r>
    <n v="562"/>
    <x v="69"/>
    <s v="CUST562"/>
    <x v="0"/>
    <n v="54"/>
    <x v="2"/>
    <n v="2"/>
    <n v="25"/>
    <n v="50"/>
  </r>
  <r>
    <n v="563"/>
    <x v="183"/>
    <s v="CUST563"/>
    <x v="0"/>
    <n v="20"/>
    <x v="1"/>
    <n v="2"/>
    <n v="30"/>
    <n v="60"/>
  </r>
  <r>
    <n v="564"/>
    <x v="208"/>
    <s v="CUST564"/>
    <x v="0"/>
    <n v="50"/>
    <x v="2"/>
    <n v="2"/>
    <n v="50"/>
    <n v="100"/>
  </r>
  <r>
    <n v="565"/>
    <x v="155"/>
    <s v="CUST565"/>
    <x v="1"/>
    <n v="45"/>
    <x v="0"/>
    <n v="2"/>
    <n v="30"/>
    <n v="60"/>
  </r>
  <r>
    <n v="566"/>
    <x v="92"/>
    <s v="CUST566"/>
    <x v="1"/>
    <n v="64"/>
    <x v="1"/>
    <n v="1"/>
    <n v="30"/>
    <n v="30"/>
  </r>
  <r>
    <n v="567"/>
    <x v="285"/>
    <s v="CUST567"/>
    <x v="1"/>
    <n v="25"/>
    <x v="1"/>
    <n v="3"/>
    <n v="300"/>
    <n v="900"/>
  </r>
  <r>
    <n v="568"/>
    <x v="286"/>
    <s v="CUST568"/>
    <x v="1"/>
    <n v="51"/>
    <x v="2"/>
    <n v="1"/>
    <n v="300"/>
    <n v="300"/>
  </r>
  <r>
    <n v="569"/>
    <x v="196"/>
    <s v="CUST569"/>
    <x v="0"/>
    <n v="52"/>
    <x v="2"/>
    <n v="4"/>
    <n v="50"/>
    <n v="200"/>
  </r>
  <r>
    <n v="570"/>
    <x v="196"/>
    <s v="CUST570"/>
    <x v="0"/>
    <n v="49"/>
    <x v="1"/>
    <n v="1"/>
    <n v="500"/>
    <n v="500"/>
  </r>
  <r>
    <n v="571"/>
    <x v="216"/>
    <s v="CUST571"/>
    <x v="1"/>
    <n v="41"/>
    <x v="2"/>
    <n v="1"/>
    <n v="50"/>
    <n v="50"/>
  </r>
  <r>
    <n v="572"/>
    <x v="175"/>
    <s v="CUST572"/>
    <x v="0"/>
    <n v="31"/>
    <x v="1"/>
    <n v="4"/>
    <n v="500"/>
    <n v="2000"/>
  </r>
  <r>
    <n v="573"/>
    <x v="270"/>
    <s v="CUST573"/>
    <x v="0"/>
    <n v="49"/>
    <x v="0"/>
    <n v="2"/>
    <n v="30"/>
    <n v="60"/>
  </r>
  <r>
    <n v="574"/>
    <x v="178"/>
    <s v="CUST574"/>
    <x v="1"/>
    <n v="63"/>
    <x v="2"/>
    <n v="2"/>
    <n v="25"/>
    <n v="50"/>
  </r>
  <r>
    <n v="575"/>
    <x v="287"/>
    <s v="CUST575"/>
    <x v="0"/>
    <n v="60"/>
    <x v="1"/>
    <n v="2"/>
    <n v="50"/>
    <n v="100"/>
  </r>
  <r>
    <n v="576"/>
    <x v="151"/>
    <s v="CUST576"/>
    <x v="1"/>
    <n v="33"/>
    <x v="0"/>
    <n v="3"/>
    <n v="50"/>
    <n v="150"/>
  </r>
  <r>
    <n v="577"/>
    <x v="146"/>
    <s v="CUST577"/>
    <x v="0"/>
    <n v="21"/>
    <x v="0"/>
    <n v="4"/>
    <n v="500"/>
    <n v="2000"/>
  </r>
  <r>
    <n v="578"/>
    <x v="232"/>
    <s v="CUST578"/>
    <x v="1"/>
    <n v="54"/>
    <x v="1"/>
    <n v="4"/>
    <n v="30"/>
    <n v="120"/>
  </r>
  <r>
    <n v="579"/>
    <x v="172"/>
    <s v="CUST579"/>
    <x v="1"/>
    <n v="38"/>
    <x v="2"/>
    <n v="1"/>
    <n v="30"/>
    <n v="30"/>
  </r>
  <r>
    <n v="580"/>
    <x v="237"/>
    <s v="CUST580"/>
    <x v="1"/>
    <n v="31"/>
    <x v="1"/>
    <n v="3"/>
    <n v="500"/>
    <n v="1500"/>
  </r>
  <r>
    <n v="581"/>
    <x v="245"/>
    <s v="CUST581"/>
    <x v="1"/>
    <n v="48"/>
    <x v="0"/>
    <n v="2"/>
    <n v="30"/>
    <n v="60"/>
  </r>
  <r>
    <n v="582"/>
    <x v="220"/>
    <s v="CUST582"/>
    <x v="0"/>
    <n v="35"/>
    <x v="1"/>
    <n v="3"/>
    <n v="300"/>
    <n v="900"/>
  </r>
  <r>
    <n v="583"/>
    <x v="288"/>
    <s v="CUST583"/>
    <x v="1"/>
    <n v="24"/>
    <x v="2"/>
    <n v="4"/>
    <n v="25"/>
    <n v="100"/>
  </r>
  <r>
    <n v="584"/>
    <x v="15"/>
    <s v="CUST584"/>
    <x v="1"/>
    <n v="27"/>
    <x v="0"/>
    <n v="4"/>
    <n v="50"/>
    <n v="200"/>
  </r>
  <r>
    <n v="585"/>
    <x v="217"/>
    <s v="CUST585"/>
    <x v="1"/>
    <n v="24"/>
    <x v="1"/>
    <n v="1"/>
    <n v="25"/>
    <n v="25"/>
  </r>
  <r>
    <n v="586"/>
    <x v="186"/>
    <s v="CUST586"/>
    <x v="0"/>
    <n v="50"/>
    <x v="2"/>
    <n v="1"/>
    <n v="50"/>
    <n v="50"/>
  </r>
  <r>
    <n v="587"/>
    <x v="276"/>
    <s v="CUST587"/>
    <x v="1"/>
    <n v="40"/>
    <x v="0"/>
    <n v="4"/>
    <n v="300"/>
    <n v="1200"/>
  </r>
  <r>
    <n v="588"/>
    <x v="164"/>
    <s v="CUST588"/>
    <x v="0"/>
    <n v="38"/>
    <x v="2"/>
    <n v="2"/>
    <n v="30"/>
    <n v="60"/>
  </r>
  <r>
    <n v="589"/>
    <x v="22"/>
    <s v="CUST589"/>
    <x v="1"/>
    <n v="36"/>
    <x v="0"/>
    <n v="2"/>
    <n v="500"/>
    <n v="1000"/>
  </r>
  <r>
    <n v="590"/>
    <x v="255"/>
    <s v="CUST590"/>
    <x v="0"/>
    <n v="36"/>
    <x v="1"/>
    <n v="3"/>
    <n v="300"/>
    <n v="900"/>
  </r>
  <r>
    <n v="591"/>
    <x v="2"/>
    <s v="CUST591"/>
    <x v="0"/>
    <n v="53"/>
    <x v="2"/>
    <n v="4"/>
    <n v="25"/>
    <n v="100"/>
  </r>
  <r>
    <n v="592"/>
    <x v="58"/>
    <s v="CUST592"/>
    <x v="1"/>
    <n v="46"/>
    <x v="0"/>
    <n v="4"/>
    <n v="500"/>
    <n v="2000"/>
  </r>
  <r>
    <n v="593"/>
    <x v="4"/>
    <s v="CUST593"/>
    <x v="0"/>
    <n v="35"/>
    <x v="2"/>
    <n v="2"/>
    <n v="30"/>
    <n v="60"/>
  </r>
  <r>
    <n v="594"/>
    <x v="152"/>
    <s v="CUST594"/>
    <x v="1"/>
    <n v="19"/>
    <x v="2"/>
    <n v="2"/>
    <n v="300"/>
    <n v="600"/>
  </r>
  <r>
    <n v="595"/>
    <x v="289"/>
    <s v="CUST595"/>
    <x v="1"/>
    <n v="18"/>
    <x v="1"/>
    <n v="4"/>
    <n v="500"/>
    <n v="2000"/>
  </r>
  <r>
    <n v="596"/>
    <x v="227"/>
    <s v="CUST596"/>
    <x v="1"/>
    <n v="64"/>
    <x v="2"/>
    <n v="1"/>
    <n v="300"/>
    <n v="300"/>
  </r>
  <r>
    <n v="597"/>
    <x v="290"/>
    <s v="CUST597"/>
    <x v="0"/>
    <n v="22"/>
    <x v="0"/>
    <n v="4"/>
    <n v="300"/>
    <n v="1200"/>
  </r>
  <r>
    <n v="598"/>
    <x v="291"/>
    <s v="CUST598"/>
    <x v="0"/>
    <n v="37"/>
    <x v="0"/>
    <n v="4"/>
    <n v="30"/>
    <n v="120"/>
  </r>
  <r>
    <n v="599"/>
    <x v="292"/>
    <s v="CUST599"/>
    <x v="1"/>
    <n v="28"/>
    <x v="0"/>
    <n v="2"/>
    <n v="50"/>
    <n v="100"/>
  </r>
  <r>
    <n v="600"/>
    <x v="293"/>
    <s v="CUST600"/>
    <x v="1"/>
    <n v="59"/>
    <x v="0"/>
    <n v="2"/>
    <n v="500"/>
    <n v="1000"/>
  </r>
  <r>
    <n v="601"/>
    <x v="294"/>
    <s v="CUST601"/>
    <x v="0"/>
    <n v="19"/>
    <x v="1"/>
    <n v="1"/>
    <n v="30"/>
    <n v="30"/>
  </r>
  <r>
    <n v="602"/>
    <x v="204"/>
    <s v="CUST602"/>
    <x v="1"/>
    <n v="20"/>
    <x v="2"/>
    <n v="1"/>
    <n v="300"/>
    <n v="300"/>
  </r>
  <r>
    <n v="603"/>
    <x v="295"/>
    <s v="CUST603"/>
    <x v="1"/>
    <n v="40"/>
    <x v="1"/>
    <n v="3"/>
    <n v="30"/>
    <n v="90"/>
  </r>
  <r>
    <n v="604"/>
    <x v="296"/>
    <s v="CUST604"/>
    <x v="1"/>
    <n v="29"/>
    <x v="2"/>
    <n v="4"/>
    <n v="50"/>
    <n v="200"/>
  </r>
  <r>
    <n v="605"/>
    <x v="104"/>
    <s v="CUST605"/>
    <x v="0"/>
    <n v="37"/>
    <x v="2"/>
    <n v="2"/>
    <n v="500"/>
    <n v="1000"/>
  </r>
  <r>
    <n v="606"/>
    <x v="179"/>
    <s v="CUST606"/>
    <x v="0"/>
    <n v="22"/>
    <x v="2"/>
    <n v="1"/>
    <n v="50"/>
    <n v="50"/>
  </r>
  <r>
    <n v="607"/>
    <x v="255"/>
    <s v="CUST607"/>
    <x v="0"/>
    <n v="54"/>
    <x v="1"/>
    <n v="3"/>
    <n v="25"/>
    <n v="75"/>
  </r>
  <r>
    <n v="608"/>
    <x v="92"/>
    <s v="CUST608"/>
    <x v="1"/>
    <n v="55"/>
    <x v="2"/>
    <n v="3"/>
    <n v="500"/>
    <n v="1500"/>
  </r>
  <r>
    <n v="609"/>
    <x v="80"/>
    <s v="CUST609"/>
    <x v="1"/>
    <n v="47"/>
    <x v="1"/>
    <n v="2"/>
    <n v="50"/>
    <n v="100"/>
  </r>
  <r>
    <n v="610"/>
    <x v="297"/>
    <s v="CUST610"/>
    <x v="1"/>
    <n v="26"/>
    <x v="0"/>
    <n v="2"/>
    <n v="300"/>
    <n v="600"/>
  </r>
  <r>
    <n v="611"/>
    <x v="130"/>
    <s v="CUST611"/>
    <x v="0"/>
    <n v="51"/>
    <x v="0"/>
    <n v="3"/>
    <n v="500"/>
    <n v="1500"/>
  </r>
  <r>
    <n v="612"/>
    <x v="298"/>
    <s v="CUST612"/>
    <x v="1"/>
    <n v="61"/>
    <x v="2"/>
    <n v="1"/>
    <n v="500"/>
    <n v="500"/>
  </r>
  <r>
    <n v="613"/>
    <x v="26"/>
    <s v="CUST613"/>
    <x v="1"/>
    <n v="52"/>
    <x v="1"/>
    <n v="3"/>
    <n v="30"/>
    <n v="90"/>
  </r>
  <r>
    <n v="614"/>
    <x v="258"/>
    <s v="CUST614"/>
    <x v="1"/>
    <n v="39"/>
    <x v="0"/>
    <n v="4"/>
    <n v="300"/>
    <n v="1200"/>
  </r>
  <r>
    <n v="615"/>
    <x v="204"/>
    <s v="CUST615"/>
    <x v="1"/>
    <n v="61"/>
    <x v="1"/>
    <n v="4"/>
    <n v="25"/>
    <n v="100"/>
  </r>
  <r>
    <n v="616"/>
    <x v="299"/>
    <s v="CUST616"/>
    <x v="0"/>
    <n v="41"/>
    <x v="1"/>
    <n v="2"/>
    <n v="50"/>
    <n v="100"/>
  </r>
  <r>
    <n v="617"/>
    <x v="300"/>
    <s v="CUST617"/>
    <x v="0"/>
    <n v="34"/>
    <x v="2"/>
    <n v="1"/>
    <n v="30"/>
    <n v="30"/>
  </r>
  <r>
    <n v="618"/>
    <x v="197"/>
    <s v="CUST618"/>
    <x v="1"/>
    <n v="27"/>
    <x v="0"/>
    <n v="1"/>
    <n v="50"/>
    <n v="50"/>
  </r>
  <r>
    <n v="619"/>
    <x v="81"/>
    <s v="CUST619"/>
    <x v="0"/>
    <n v="47"/>
    <x v="2"/>
    <n v="4"/>
    <n v="25"/>
    <n v="100"/>
  </r>
  <r>
    <n v="620"/>
    <x v="193"/>
    <s v="CUST620"/>
    <x v="0"/>
    <n v="63"/>
    <x v="2"/>
    <n v="3"/>
    <n v="25"/>
    <n v="75"/>
  </r>
  <r>
    <n v="621"/>
    <x v="301"/>
    <s v="CUST621"/>
    <x v="1"/>
    <n v="40"/>
    <x v="0"/>
    <n v="2"/>
    <n v="500"/>
    <n v="1000"/>
  </r>
  <r>
    <n v="622"/>
    <x v="290"/>
    <s v="CUST622"/>
    <x v="1"/>
    <n v="49"/>
    <x v="0"/>
    <n v="3"/>
    <n v="25"/>
    <n v="75"/>
  </r>
  <r>
    <n v="623"/>
    <x v="239"/>
    <s v="CUST623"/>
    <x v="0"/>
    <n v="34"/>
    <x v="1"/>
    <n v="3"/>
    <n v="50"/>
    <n v="150"/>
  </r>
  <r>
    <n v="624"/>
    <x v="300"/>
    <s v="CUST624"/>
    <x v="1"/>
    <n v="34"/>
    <x v="0"/>
    <n v="3"/>
    <n v="300"/>
    <n v="900"/>
  </r>
  <r>
    <n v="625"/>
    <x v="236"/>
    <s v="CUST625"/>
    <x v="0"/>
    <n v="31"/>
    <x v="1"/>
    <n v="1"/>
    <n v="300"/>
    <n v="300"/>
  </r>
  <r>
    <n v="626"/>
    <x v="136"/>
    <s v="CUST626"/>
    <x v="1"/>
    <n v="26"/>
    <x v="1"/>
    <n v="4"/>
    <n v="500"/>
    <n v="2000"/>
  </r>
  <r>
    <n v="627"/>
    <x v="257"/>
    <s v="CUST627"/>
    <x v="0"/>
    <n v="57"/>
    <x v="1"/>
    <n v="1"/>
    <n v="50"/>
    <n v="50"/>
  </r>
  <r>
    <n v="628"/>
    <x v="215"/>
    <s v="CUST628"/>
    <x v="1"/>
    <n v="19"/>
    <x v="0"/>
    <n v="4"/>
    <n v="50"/>
    <n v="200"/>
  </r>
  <r>
    <n v="629"/>
    <x v="302"/>
    <s v="CUST629"/>
    <x v="0"/>
    <n v="62"/>
    <x v="2"/>
    <n v="2"/>
    <n v="25"/>
    <n v="50"/>
  </r>
  <r>
    <n v="630"/>
    <x v="196"/>
    <s v="CUST630"/>
    <x v="0"/>
    <n v="42"/>
    <x v="1"/>
    <n v="2"/>
    <n v="50"/>
    <n v="100"/>
  </r>
  <r>
    <n v="631"/>
    <x v="235"/>
    <s v="CUST631"/>
    <x v="0"/>
    <n v="56"/>
    <x v="2"/>
    <n v="3"/>
    <n v="30"/>
    <n v="90"/>
  </r>
  <r>
    <n v="632"/>
    <x v="18"/>
    <s v="CUST632"/>
    <x v="1"/>
    <n v="26"/>
    <x v="2"/>
    <n v="4"/>
    <n v="25"/>
    <n v="100"/>
  </r>
  <r>
    <n v="633"/>
    <x v="252"/>
    <s v="CUST633"/>
    <x v="0"/>
    <n v="39"/>
    <x v="0"/>
    <n v="4"/>
    <n v="30"/>
    <n v="120"/>
  </r>
  <r>
    <n v="634"/>
    <x v="283"/>
    <s v="CUST634"/>
    <x v="0"/>
    <n v="60"/>
    <x v="2"/>
    <n v="4"/>
    <n v="500"/>
    <n v="2000"/>
  </r>
  <r>
    <n v="635"/>
    <x v="303"/>
    <s v="CUST635"/>
    <x v="1"/>
    <n v="63"/>
    <x v="2"/>
    <n v="3"/>
    <n v="300"/>
    <n v="900"/>
  </r>
  <r>
    <n v="636"/>
    <x v="31"/>
    <s v="CUST636"/>
    <x v="1"/>
    <n v="21"/>
    <x v="0"/>
    <n v="3"/>
    <n v="500"/>
    <n v="1500"/>
  </r>
  <r>
    <n v="637"/>
    <x v="152"/>
    <s v="CUST637"/>
    <x v="0"/>
    <n v="43"/>
    <x v="1"/>
    <n v="2"/>
    <n v="300"/>
    <n v="600"/>
  </r>
  <r>
    <n v="638"/>
    <x v="304"/>
    <s v="CUST638"/>
    <x v="0"/>
    <n v="46"/>
    <x v="2"/>
    <n v="1"/>
    <n v="500"/>
    <n v="500"/>
  </r>
  <r>
    <n v="639"/>
    <x v="305"/>
    <s v="CUST639"/>
    <x v="1"/>
    <n v="62"/>
    <x v="0"/>
    <n v="4"/>
    <n v="50"/>
    <n v="200"/>
  </r>
  <r>
    <n v="640"/>
    <x v="98"/>
    <s v="CUST640"/>
    <x v="1"/>
    <n v="51"/>
    <x v="2"/>
    <n v="4"/>
    <n v="30"/>
    <n v="120"/>
  </r>
  <r>
    <n v="641"/>
    <x v="250"/>
    <s v="CUST641"/>
    <x v="1"/>
    <n v="40"/>
    <x v="2"/>
    <n v="1"/>
    <n v="300"/>
    <n v="300"/>
  </r>
  <r>
    <n v="642"/>
    <x v="247"/>
    <s v="CUST642"/>
    <x v="1"/>
    <n v="54"/>
    <x v="1"/>
    <n v="4"/>
    <n v="25"/>
    <n v="100"/>
  </r>
  <r>
    <n v="643"/>
    <x v="272"/>
    <s v="CUST643"/>
    <x v="1"/>
    <n v="28"/>
    <x v="2"/>
    <n v="3"/>
    <n v="30"/>
    <n v="90"/>
  </r>
  <r>
    <n v="644"/>
    <x v="147"/>
    <s v="CUST644"/>
    <x v="0"/>
    <n v="23"/>
    <x v="0"/>
    <n v="3"/>
    <n v="25"/>
    <n v="75"/>
  </r>
  <r>
    <n v="645"/>
    <x v="131"/>
    <s v="CUST645"/>
    <x v="1"/>
    <n v="35"/>
    <x v="2"/>
    <n v="4"/>
    <n v="30"/>
    <n v="120"/>
  </r>
  <r>
    <n v="646"/>
    <x v="143"/>
    <s v="CUST646"/>
    <x v="0"/>
    <n v="38"/>
    <x v="1"/>
    <n v="3"/>
    <n v="30"/>
    <n v="90"/>
  </r>
  <r>
    <n v="647"/>
    <x v="3"/>
    <s v="CUST647"/>
    <x v="0"/>
    <n v="59"/>
    <x v="1"/>
    <n v="3"/>
    <n v="500"/>
    <n v="1500"/>
  </r>
  <r>
    <n v="648"/>
    <x v="306"/>
    <s v="CUST648"/>
    <x v="0"/>
    <n v="53"/>
    <x v="0"/>
    <n v="4"/>
    <n v="300"/>
    <n v="1200"/>
  </r>
  <r>
    <n v="649"/>
    <x v="307"/>
    <s v="CUST649"/>
    <x v="1"/>
    <n v="58"/>
    <x v="1"/>
    <n v="2"/>
    <n v="300"/>
    <n v="600"/>
  </r>
  <r>
    <n v="650"/>
    <x v="158"/>
    <s v="CUST650"/>
    <x v="0"/>
    <n v="55"/>
    <x v="2"/>
    <n v="1"/>
    <n v="30"/>
    <n v="30"/>
  </r>
  <r>
    <n v="651"/>
    <x v="203"/>
    <s v="CUST651"/>
    <x v="0"/>
    <n v="51"/>
    <x v="1"/>
    <n v="3"/>
    <n v="50"/>
    <n v="150"/>
  </r>
  <r>
    <n v="652"/>
    <x v="217"/>
    <s v="CUST652"/>
    <x v="1"/>
    <n v="34"/>
    <x v="0"/>
    <n v="2"/>
    <n v="50"/>
    <n v="100"/>
  </r>
  <r>
    <n v="653"/>
    <x v="241"/>
    <s v="CUST653"/>
    <x v="0"/>
    <n v="54"/>
    <x v="1"/>
    <n v="3"/>
    <n v="25"/>
    <n v="75"/>
  </r>
  <r>
    <n v="654"/>
    <x v="288"/>
    <s v="CUST654"/>
    <x v="0"/>
    <n v="42"/>
    <x v="1"/>
    <n v="3"/>
    <n v="25"/>
    <n v="75"/>
  </r>
  <r>
    <n v="655"/>
    <x v="308"/>
    <s v="CUST655"/>
    <x v="1"/>
    <n v="55"/>
    <x v="1"/>
    <n v="1"/>
    <n v="500"/>
    <n v="500"/>
  </r>
  <r>
    <n v="656"/>
    <x v="135"/>
    <s v="CUST656"/>
    <x v="0"/>
    <n v="29"/>
    <x v="0"/>
    <n v="3"/>
    <n v="30"/>
    <n v="90"/>
  </r>
  <r>
    <n v="657"/>
    <x v="213"/>
    <s v="CUST657"/>
    <x v="0"/>
    <n v="40"/>
    <x v="1"/>
    <n v="1"/>
    <n v="25"/>
    <n v="25"/>
  </r>
  <r>
    <n v="658"/>
    <x v="105"/>
    <s v="CUST658"/>
    <x v="0"/>
    <n v="59"/>
    <x v="1"/>
    <n v="1"/>
    <n v="25"/>
    <n v="25"/>
  </r>
  <r>
    <n v="659"/>
    <x v="309"/>
    <s v="CUST659"/>
    <x v="1"/>
    <n v="39"/>
    <x v="2"/>
    <n v="1"/>
    <n v="30"/>
    <n v="30"/>
  </r>
  <r>
    <n v="660"/>
    <x v="310"/>
    <s v="CUST660"/>
    <x v="1"/>
    <n v="38"/>
    <x v="0"/>
    <n v="2"/>
    <n v="500"/>
    <n v="1000"/>
  </r>
  <r>
    <n v="661"/>
    <x v="295"/>
    <s v="CUST661"/>
    <x v="1"/>
    <n v="44"/>
    <x v="1"/>
    <n v="4"/>
    <n v="25"/>
    <n v="100"/>
  </r>
  <r>
    <n v="662"/>
    <x v="311"/>
    <s v="CUST662"/>
    <x v="0"/>
    <n v="48"/>
    <x v="0"/>
    <n v="2"/>
    <n v="500"/>
    <n v="1000"/>
  </r>
  <r>
    <n v="663"/>
    <x v="111"/>
    <s v="CUST663"/>
    <x v="0"/>
    <n v="23"/>
    <x v="1"/>
    <n v="4"/>
    <n v="300"/>
    <n v="1200"/>
  </r>
  <r>
    <n v="664"/>
    <x v="251"/>
    <s v="CUST664"/>
    <x v="1"/>
    <n v="44"/>
    <x v="1"/>
    <n v="4"/>
    <n v="500"/>
    <n v="2000"/>
  </r>
  <r>
    <n v="665"/>
    <x v="175"/>
    <s v="CUST665"/>
    <x v="0"/>
    <n v="57"/>
    <x v="1"/>
    <n v="1"/>
    <n v="50"/>
    <n v="50"/>
  </r>
  <r>
    <n v="666"/>
    <x v="114"/>
    <s v="CUST666"/>
    <x v="0"/>
    <n v="51"/>
    <x v="2"/>
    <n v="3"/>
    <n v="50"/>
    <n v="150"/>
  </r>
  <r>
    <n v="667"/>
    <x v="291"/>
    <s v="CUST667"/>
    <x v="1"/>
    <n v="29"/>
    <x v="2"/>
    <n v="1"/>
    <n v="500"/>
    <n v="500"/>
  </r>
  <r>
    <n v="668"/>
    <x v="180"/>
    <s v="CUST668"/>
    <x v="1"/>
    <n v="62"/>
    <x v="2"/>
    <n v="3"/>
    <n v="50"/>
    <n v="150"/>
  </r>
  <r>
    <n v="669"/>
    <x v="171"/>
    <s v="CUST669"/>
    <x v="0"/>
    <n v="24"/>
    <x v="0"/>
    <n v="4"/>
    <n v="300"/>
    <n v="1200"/>
  </r>
  <r>
    <n v="670"/>
    <x v="209"/>
    <s v="CUST670"/>
    <x v="0"/>
    <n v="27"/>
    <x v="0"/>
    <n v="1"/>
    <n v="30"/>
    <n v="30"/>
  </r>
  <r>
    <n v="671"/>
    <x v="286"/>
    <s v="CUST671"/>
    <x v="0"/>
    <n v="62"/>
    <x v="2"/>
    <n v="3"/>
    <n v="50"/>
    <n v="150"/>
  </r>
  <r>
    <n v="672"/>
    <x v="291"/>
    <s v="CUST672"/>
    <x v="1"/>
    <n v="34"/>
    <x v="0"/>
    <n v="2"/>
    <n v="50"/>
    <n v="100"/>
  </r>
  <r>
    <n v="673"/>
    <x v="190"/>
    <s v="CUST673"/>
    <x v="1"/>
    <n v="43"/>
    <x v="1"/>
    <n v="3"/>
    <n v="500"/>
    <n v="1500"/>
  </r>
  <r>
    <n v="674"/>
    <x v="312"/>
    <s v="CUST674"/>
    <x v="1"/>
    <n v="38"/>
    <x v="1"/>
    <n v="1"/>
    <n v="300"/>
    <n v="300"/>
  </r>
  <r>
    <n v="675"/>
    <x v="279"/>
    <s v="CUST675"/>
    <x v="1"/>
    <n v="45"/>
    <x v="1"/>
    <n v="2"/>
    <n v="30"/>
    <n v="60"/>
  </r>
  <r>
    <n v="676"/>
    <x v="202"/>
    <s v="CUST676"/>
    <x v="0"/>
    <n v="63"/>
    <x v="2"/>
    <n v="3"/>
    <n v="500"/>
    <n v="1500"/>
  </r>
  <r>
    <n v="677"/>
    <x v="101"/>
    <s v="CUST677"/>
    <x v="1"/>
    <n v="19"/>
    <x v="0"/>
    <n v="3"/>
    <n v="500"/>
    <n v="1500"/>
  </r>
  <r>
    <n v="678"/>
    <x v="204"/>
    <s v="CUST678"/>
    <x v="1"/>
    <n v="60"/>
    <x v="2"/>
    <n v="3"/>
    <n v="300"/>
    <n v="900"/>
  </r>
  <r>
    <n v="679"/>
    <x v="166"/>
    <s v="CUST679"/>
    <x v="1"/>
    <n v="18"/>
    <x v="0"/>
    <n v="3"/>
    <n v="30"/>
    <n v="90"/>
  </r>
  <r>
    <n v="680"/>
    <x v="293"/>
    <s v="CUST680"/>
    <x v="1"/>
    <n v="53"/>
    <x v="1"/>
    <n v="3"/>
    <n v="300"/>
    <n v="900"/>
  </r>
  <r>
    <n v="681"/>
    <x v="37"/>
    <s v="CUST681"/>
    <x v="1"/>
    <n v="43"/>
    <x v="2"/>
    <n v="2"/>
    <n v="30"/>
    <n v="60"/>
  </r>
  <r>
    <n v="682"/>
    <x v="211"/>
    <s v="CUST682"/>
    <x v="0"/>
    <n v="46"/>
    <x v="0"/>
    <n v="4"/>
    <n v="300"/>
    <n v="1200"/>
  </r>
  <r>
    <n v="683"/>
    <x v="30"/>
    <s v="CUST683"/>
    <x v="0"/>
    <n v="38"/>
    <x v="0"/>
    <n v="2"/>
    <n v="500"/>
    <n v="1000"/>
  </r>
  <r>
    <n v="684"/>
    <x v="313"/>
    <s v="CUST684"/>
    <x v="1"/>
    <n v="28"/>
    <x v="1"/>
    <n v="2"/>
    <n v="500"/>
    <n v="1000"/>
  </r>
  <r>
    <n v="685"/>
    <x v="132"/>
    <s v="CUST685"/>
    <x v="0"/>
    <n v="57"/>
    <x v="2"/>
    <n v="2"/>
    <n v="25"/>
    <n v="50"/>
  </r>
  <r>
    <n v="686"/>
    <x v="202"/>
    <s v="CUST686"/>
    <x v="1"/>
    <n v="28"/>
    <x v="2"/>
    <n v="4"/>
    <n v="50"/>
    <n v="200"/>
  </r>
  <r>
    <n v="687"/>
    <x v="25"/>
    <s v="CUST687"/>
    <x v="1"/>
    <n v="53"/>
    <x v="2"/>
    <n v="1"/>
    <n v="300"/>
    <n v="300"/>
  </r>
  <r>
    <n v="688"/>
    <x v="99"/>
    <s v="CUST688"/>
    <x v="0"/>
    <n v="56"/>
    <x v="1"/>
    <n v="4"/>
    <n v="25"/>
    <n v="100"/>
  </r>
  <r>
    <n v="689"/>
    <x v="9"/>
    <s v="CUST689"/>
    <x v="0"/>
    <n v="57"/>
    <x v="2"/>
    <n v="2"/>
    <n v="50"/>
    <n v="100"/>
  </r>
  <r>
    <n v="690"/>
    <x v="19"/>
    <s v="CUST690"/>
    <x v="1"/>
    <n v="52"/>
    <x v="1"/>
    <n v="3"/>
    <n v="300"/>
    <n v="900"/>
  </r>
  <r>
    <n v="691"/>
    <x v="26"/>
    <s v="CUST691"/>
    <x v="1"/>
    <n v="51"/>
    <x v="1"/>
    <n v="3"/>
    <n v="30"/>
    <n v="90"/>
  </r>
  <r>
    <n v="692"/>
    <x v="206"/>
    <s v="CUST692"/>
    <x v="1"/>
    <n v="64"/>
    <x v="1"/>
    <n v="2"/>
    <n v="50"/>
    <n v="100"/>
  </r>
  <r>
    <n v="693"/>
    <x v="26"/>
    <s v="CUST693"/>
    <x v="0"/>
    <n v="41"/>
    <x v="0"/>
    <n v="3"/>
    <n v="500"/>
    <n v="1500"/>
  </r>
  <r>
    <n v="694"/>
    <x v="241"/>
    <s v="CUST694"/>
    <x v="1"/>
    <n v="39"/>
    <x v="2"/>
    <n v="2"/>
    <n v="25"/>
    <n v="50"/>
  </r>
  <r>
    <n v="695"/>
    <x v="269"/>
    <s v="CUST695"/>
    <x v="1"/>
    <n v="22"/>
    <x v="2"/>
    <n v="3"/>
    <n v="50"/>
    <n v="150"/>
  </r>
  <r>
    <n v="696"/>
    <x v="147"/>
    <s v="CUST696"/>
    <x v="1"/>
    <n v="50"/>
    <x v="1"/>
    <n v="4"/>
    <n v="50"/>
    <n v="200"/>
  </r>
  <r>
    <n v="697"/>
    <x v="267"/>
    <s v="CUST697"/>
    <x v="0"/>
    <n v="53"/>
    <x v="1"/>
    <n v="1"/>
    <n v="500"/>
    <n v="500"/>
  </r>
  <r>
    <n v="698"/>
    <x v="202"/>
    <s v="CUST698"/>
    <x v="1"/>
    <n v="64"/>
    <x v="2"/>
    <n v="1"/>
    <n v="300"/>
    <n v="300"/>
  </r>
  <r>
    <n v="699"/>
    <x v="36"/>
    <s v="CUST699"/>
    <x v="1"/>
    <n v="37"/>
    <x v="1"/>
    <n v="4"/>
    <n v="30"/>
    <n v="120"/>
  </r>
  <r>
    <n v="700"/>
    <x v="174"/>
    <s v="CUST700"/>
    <x v="0"/>
    <n v="36"/>
    <x v="2"/>
    <n v="4"/>
    <n v="500"/>
    <n v="2000"/>
  </r>
  <r>
    <n v="701"/>
    <x v="266"/>
    <s v="CUST701"/>
    <x v="1"/>
    <n v="52"/>
    <x v="0"/>
    <n v="2"/>
    <n v="30"/>
    <n v="60"/>
  </r>
  <r>
    <n v="702"/>
    <x v="282"/>
    <s v="CUST702"/>
    <x v="1"/>
    <n v="60"/>
    <x v="1"/>
    <n v="2"/>
    <n v="300"/>
    <n v="600"/>
  </r>
  <r>
    <n v="703"/>
    <x v="154"/>
    <s v="CUST703"/>
    <x v="0"/>
    <n v="34"/>
    <x v="2"/>
    <n v="2"/>
    <n v="50"/>
    <n v="100"/>
  </r>
  <r>
    <n v="704"/>
    <x v="117"/>
    <s v="CUST704"/>
    <x v="1"/>
    <n v="62"/>
    <x v="1"/>
    <n v="3"/>
    <n v="30"/>
    <n v="90"/>
  </r>
  <r>
    <n v="705"/>
    <x v="150"/>
    <s v="CUST705"/>
    <x v="0"/>
    <n v="60"/>
    <x v="2"/>
    <n v="2"/>
    <n v="25"/>
    <n v="50"/>
  </r>
  <r>
    <n v="706"/>
    <x v="229"/>
    <s v="CUST706"/>
    <x v="0"/>
    <n v="51"/>
    <x v="2"/>
    <n v="4"/>
    <n v="25"/>
    <n v="100"/>
  </r>
  <r>
    <n v="707"/>
    <x v="77"/>
    <s v="CUST707"/>
    <x v="1"/>
    <n v="26"/>
    <x v="1"/>
    <n v="1"/>
    <n v="500"/>
    <n v="500"/>
  </r>
  <r>
    <n v="708"/>
    <x v="20"/>
    <s v="CUST708"/>
    <x v="1"/>
    <n v="43"/>
    <x v="0"/>
    <n v="3"/>
    <n v="300"/>
    <n v="900"/>
  </r>
  <r>
    <n v="709"/>
    <x v="314"/>
    <s v="CUST709"/>
    <x v="1"/>
    <n v="19"/>
    <x v="2"/>
    <n v="2"/>
    <n v="500"/>
    <n v="1000"/>
  </r>
  <r>
    <n v="710"/>
    <x v="315"/>
    <s v="CUST710"/>
    <x v="1"/>
    <n v="26"/>
    <x v="2"/>
    <n v="3"/>
    <n v="500"/>
    <n v="1500"/>
  </r>
  <r>
    <n v="711"/>
    <x v="230"/>
    <s v="CUST711"/>
    <x v="0"/>
    <n v="26"/>
    <x v="2"/>
    <n v="3"/>
    <n v="500"/>
    <n v="1500"/>
  </r>
  <r>
    <n v="712"/>
    <x v="237"/>
    <s v="CUST712"/>
    <x v="1"/>
    <n v="57"/>
    <x v="0"/>
    <n v="2"/>
    <n v="25"/>
    <n v="50"/>
  </r>
  <r>
    <n v="713"/>
    <x v="20"/>
    <s v="CUST713"/>
    <x v="0"/>
    <n v="34"/>
    <x v="0"/>
    <n v="3"/>
    <n v="25"/>
    <n v="75"/>
  </r>
  <r>
    <n v="714"/>
    <x v="316"/>
    <s v="CUST714"/>
    <x v="1"/>
    <n v="18"/>
    <x v="1"/>
    <n v="1"/>
    <n v="500"/>
    <n v="500"/>
  </r>
  <r>
    <n v="715"/>
    <x v="95"/>
    <s v="CUST715"/>
    <x v="1"/>
    <n v="42"/>
    <x v="0"/>
    <n v="4"/>
    <n v="25"/>
    <n v="100"/>
  </r>
  <r>
    <n v="716"/>
    <x v="102"/>
    <s v="CUST716"/>
    <x v="1"/>
    <n v="60"/>
    <x v="1"/>
    <n v="4"/>
    <n v="300"/>
    <n v="1200"/>
  </r>
  <r>
    <n v="717"/>
    <x v="317"/>
    <s v="CUST717"/>
    <x v="0"/>
    <n v="57"/>
    <x v="1"/>
    <n v="1"/>
    <n v="500"/>
    <n v="500"/>
  </r>
  <r>
    <n v="718"/>
    <x v="78"/>
    <s v="CUST718"/>
    <x v="1"/>
    <n v="59"/>
    <x v="0"/>
    <n v="3"/>
    <n v="25"/>
    <n v="75"/>
  </r>
  <r>
    <n v="719"/>
    <x v="194"/>
    <s v="CUST719"/>
    <x v="1"/>
    <n v="42"/>
    <x v="1"/>
    <n v="2"/>
    <n v="30"/>
    <n v="60"/>
  </r>
  <r>
    <n v="720"/>
    <x v="197"/>
    <s v="CUST720"/>
    <x v="1"/>
    <n v="56"/>
    <x v="0"/>
    <n v="3"/>
    <n v="500"/>
    <n v="1500"/>
  </r>
  <r>
    <n v="721"/>
    <x v="224"/>
    <s v="CUST721"/>
    <x v="1"/>
    <n v="52"/>
    <x v="1"/>
    <n v="1"/>
    <n v="500"/>
    <n v="500"/>
  </r>
  <r>
    <n v="722"/>
    <x v="37"/>
    <s v="CUST722"/>
    <x v="0"/>
    <n v="20"/>
    <x v="0"/>
    <n v="3"/>
    <n v="300"/>
    <n v="900"/>
  </r>
  <r>
    <n v="723"/>
    <x v="278"/>
    <s v="CUST723"/>
    <x v="1"/>
    <n v="54"/>
    <x v="0"/>
    <n v="4"/>
    <n v="50"/>
    <n v="200"/>
  </r>
  <r>
    <n v="724"/>
    <x v="90"/>
    <s v="CUST724"/>
    <x v="0"/>
    <n v="61"/>
    <x v="1"/>
    <n v="3"/>
    <n v="50"/>
    <n v="150"/>
  </r>
  <r>
    <n v="725"/>
    <x v="63"/>
    <s v="CUST725"/>
    <x v="0"/>
    <n v="61"/>
    <x v="2"/>
    <n v="1"/>
    <n v="300"/>
    <n v="300"/>
  </r>
  <r>
    <n v="726"/>
    <x v="278"/>
    <s v="CUST726"/>
    <x v="0"/>
    <n v="47"/>
    <x v="1"/>
    <n v="4"/>
    <n v="300"/>
    <n v="1200"/>
  </r>
  <r>
    <n v="727"/>
    <x v="36"/>
    <s v="CUST727"/>
    <x v="0"/>
    <n v="55"/>
    <x v="0"/>
    <n v="3"/>
    <n v="300"/>
    <n v="900"/>
  </r>
  <r>
    <n v="728"/>
    <x v="37"/>
    <s v="CUST728"/>
    <x v="0"/>
    <n v="51"/>
    <x v="2"/>
    <n v="3"/>
    <n v="50"/>
    <n v="150"/>
  </r>
  <r>
    <n v="729"/>
    <x v="29"/>
    <s v="CUST729"/>
    <x v="0"/>
    <n v="29"/>
    <x v="1"/>
    <n v="4"/>
    <n v="300"/>
    <n v="1200"/>
  </r>
  <r>
    <n v="730"/>
    <x v="279"/>
    <s v="CUST730"/>
    <x v="1"/>
    <n v="36"/>
    <x v="1"/>
    <n v="2"/>
    <n v="25"/>
    <n v="50"/>
  </r>
  <r>
    <n v="731"/>
    <x v="318"/>
    <s v="CUST731"/>
    <x v="0"/>
    <n v="54"/>
    <x v="1"/>
    <n v="4"/>
    <n v="500"/>
    <n v="2000"/>
  </r>
  <r>
    <n v="732"/>
    <x v="213"/>
    <s v="CUST732"/>
    <x v="0"/>
    <n v="61"/>
    <x v="2"/>
    <n v="2"/>
    <n v="500"/>
    <n v="1000"/>
  </r>
  <r>
    <n v="733"/>
    <x v="261"/>
    <s v="CUST733"/>
    <x v="0"/>
    <n v="34"/>
    <x v="0"/>
    <n v="1"/>
    <n v="30"/>
    <n v="30"/>
  </r>
  <r>
    <n v="734"/>
    <x v="141"/>
    <s v="CUST734"/>
    <x v="1"/>
    <n v="27"/>
    <x v="1"/>
    <n v="1"/>
    <n v="30"/>
    <n v="30"/>
  </r>
  <r>
    <n v="735"/>
    <x v="135"/>
    <s v="CUST735"/>
    <x v="1"/>
    <n v="64"/>
    <x v="1"/>
    <n v="4"/>
    <n v="500"/>
    <n v="2000"/>
  </r>
  <r>
    <n v="736"/>
    <x v="246"/>
    <s v="CUST736"/>
    <x v="0"/>
    <n v="29"/>
    <x v="1"/>
    <n v="4"/>
    <n v="25"/>
    <n v="100"/>
  </r>
  <r>
    <n v="737"/>
    <x v="263"/>
    <s v="CUST737"/>
    <x v="1"/>
    <n v="33"/>
    <x v="1"/>
    <n v="1"/>
    <n v="50"/>
    <n v="50"/>
  </r>
  <r>
    <n v="738"/>
    <x v="5"/>
    <s v="CUST738"/>
    <x v="0"/>
    <n v="41"/>
    <x v="1"/>
    <n v="2"/>
    <n v="50"/>
    <n v="100"/>
  </r>
  <r>
    <n v="739"/>
    <x v="23"/>
    <s v="CUST739"/>
    <x v="0"/>
    <n v="36"/>
    <x v="0"/>
    <n v="1"/>
    <n v="25"/>
    <n v="25"/>
  </r>
  <r>
    <n v="740"/>
    <x v="57"/>
    <s v="CUST740"/>
    <x v="1"/>
    <n v="25"/>
    <x v="0"/>
    <n v="4"/>
    <n v="50"/>
    <n v="200"/>
  </r>
  <r>
    <n v="741"/>
    <x v="198"/>
    <s v="CUST741"/>
    <x v="0"/>
    <n v="48"/>
    <x v="1"/>
    <n v="1"/>
    <n v="300"/>
    <n v="300"/>
  </r>
  <r>
    <n v="742"/>
    <x v="219"/>
    <s v="CUST742"/>
    <x v="1"/>
    <n v="38"/>
    <x v="2"/>
    <n v="4"/>
    <n v="500"/>
    <n v="2000"/>
  </r>
  <r>
    <n v="743"/>
    <x v="14"/>
    <s v="CUST743"/>
    <x v="1"/>
    <n v="34"/>
    <x v="0"/>
    <n v="4"/>
    <n v="500"/>
    <n v="2000"/>
  </r>
  <r>
    <n v="744"/>
    <x v="98"/>
    <s v="CUST744"/>
    <x v="0"/>
    <n v="40"/>
    <x v="2"/>
    <n v="1"/>
    <n v="25"/>
    <n v="25"/>
  </r>
  <r>
    <n v="745"/>
    <x v="157"/>
    <s v="CUST745"/>
    <x v="0"/>
    <n v="54"/>
    <x v="0"/>
    <n v="2"/>
    <n v="50"/>
    <n v="100"/>
  </r>
  <r>
    <n v="746"/>
    <x v="166"/>
    <s v="CUST746"/>
    <x v="1"/>
    <n v="33"/>
    <x v="1"/>
    <n v="3"/>
    <n v="30"/>
    <n v="90"/>
  </r>
  <r>
    <n v="747"/>
    <x v="229"/>
    <s v="CUST747"/>
    <x v="0"/>
    <n v="23"/>
    <x v="0"/>
    <n v="1"/>
    <n v="30"/>
    <n v="30"/>
  </r>
  <r>
    <n v="748"/>
    <x v="111"/>
    <s v="CUST748"/>
    <x v="0"/>
    <n v="25"/>
    <x v="1"/>
    <n v="3"/>
    <n v="50"/>
    <n v="150"/>
  </r>
  <r>
    <n v="749"/>
    <x v="143"/>
    <s v="CUST749"/>
    <x v="0"/>
    <n v="42"/>
    <x v="0"/>
    <n v="1"/>
    <n v="30"/>
    <n v="30"/>
  </r>
  <r>
    <n v="750"/>
    <x v="149"/>
    <s v="CUST750"/>
    <x v="1"/>
    <n v="35"/>
    <x v="1"/>
    <n v="3"/>
    <n v="25"/>
    <n v="75"/>
  </r>
  <r>
    <n v="751"/>
    <x v="178"/>
    <s v="CUST751"/>
    <x v="1"/>
    <n v="42"/>
    <x v="1"/>
    <n v="2"/>
    <n v="25"/>
    <n v="50"/>
  </r>
  <r>
    <n v="752"/>
    <x v="174"/>
    <s v="CUST752"/>
    <x v="0"/>
    <n v="29"/>
    <x v="1"/>
    <n v="2"/>
    <n v="50"/>
    <n v="100"/>
  </r>
  <r>
    <n v="753"/>
    <x v="122"/>
    <s v="CUST753"/>
    <x v="1"/>
    <n v="32"/>
    <x v="1"/>
    <n v="1"/>
    <n v="30"/>
    <n v="30"/>
  </r>
  <r>
    <n v="754"/>
    <x v="230"/>
    <s v="CUST754"/>
    <x v="1"/>
    <n v="43"/>
    <x v="2"/>
    <n v="4"/>
    <n v="25"/>
    <n v="100"/>
  </r>
  <r>
    <n v="755"/>
    <x v="16"/>
    <s v="CUST755"/>
    <x v="1"/>
    <n v="58"/>
    <x v="1"/>
    <n v="3"/>
    <n v="25"/>
    <n v="75"/>
  </r>
  <r>
    <n v="756"/>
    <x v="286"/>
    <s v="CUST756"/>
    <x v="1"/>
    <n v="62"/>
    <x v="2"/>
    <n v="4"/>
    <n v="300"/>
    <n v="1200"/>
  </r>
  <r>
    <n v="757"/>
    <x v="319"/>
    <s v="CUST757"/>
    <x v="1"/>
    <n v="43"/>
    <x v="2"/>
    <n v="4"/>
    <n v="300"/>
    <n v="1200"/>
  </r>
  <r>
    <n v="758"/>
    <x v="320"/>
    <s v="CUST758"/>
    <x v="0"/>
    <n v="64"/>
    <x v="1"/>
    <n v="4"/>
    <n v="25"/>
    <n v="100"/>
  </r>
  <r>
    <n v="759"/>
    <x v="321"/>
    <s v="CUST759"/>
    <x v="0"/>
    <n v="49"/>
    <x v="2"/>
    <n v="2"/>
    <n v="50"/>
    <n v="100"/>
  </r>
  <r>
    <n v="760"/>
    <x v="200"/>
    <s v="CUST760"/>
    <x v="0"/>
    <n v="27"/>
    <x v="0"/>
    <n v="1"/>
    <n v="500"/>
    <n v="500"/>
  </r>
  <r>
    <n v="761"/>
    <x v="155"/>
    <s v="CUST761"/>
    <x v="1"/>
    <n v="33"/>
    <x v="1"/>
    <n v="1"/>
    <n v="500"/>
    <n v="500"/>
  </r>
  <r>
    <n v="762"/>
    <x v="155"/>
    <s v="CUST762"/>
    <x v="1"/>
    <n v="24"/>
    <x v="2"/>
    <n v="2"/>
    <n v="25"/>
    <n v="50"/>
  </r>
  <r>
    <n v="763"/>
    <x v="122"/>
    <s v="CUST763"/>
    <x v="0"/>
    <n v="34"/>
    <x v="1"/>
    <n v="2"/>
    <n v="25"/>
    <n v="50"/>
  </r>
  <r>
    <n v="764"/>
    <x v="66"/>
    <s v="CUST764"/>
    <x v="1"/>
    <n v="40"/>
    <x v="1"/>
    <n v="1"/>
    <n v="25"/>
    <n v="25"/>
  </r>
  <r>
    <n v="765"/>
    <x v="159"/>
    <s v="CUST765"/>
    <x v="0"/>
    <n v="43"/>
    <x v="1"/>
    <n v="4"/>
    <n v="50"/>
    <n v="200"/>
  </r>
  <r>
    <n v="766"/>
    <x v="192"/>
    <s v="CUST766"/>
    <x v="0"/>
    <n v="38"/>
    <x v="2"/>
    <n v="3"/>
    <n v="300"/>
    <n v="900"/>
  </r>
  <r>
    <n v="767"/>
    <x v="208"/>
    <s v="CUST767"/>
    <x v="0"/>
    <n v="39"/>
    <x v="0"/>
    <n v="3"/>
    <n v="25"/>
    <n v="75"/>
  </r>
  <r>
    <n v="768"/>
    <x v="20"/>
    <s v="CUST768"/>
    <x v="1"/>
    <n v="24"/>
    <x v="0"/>
    <n v="3"/>
    <n v="25"/>
    <n v="75"/>
  </r>
  <r>
    <n v="769"/>
    <x v="159"/>
    <s v="CUST769"/>
    <x v="1"/>
    <n v="31"/>
    <x v="2"/>
    <n v="4"/>
    <n v="30"/>
    <n v="120"/>
  </r>
  <r>
    <n v="770"/>
    <x v="293"/>
    <s v="CUST770"/>
    <x v="0"/>
    <n v="32"/>
    <x v="1"/>
    <n v="1"/>
    <n v="50"/>
    <n v="50"/>
  </r>
  <r>
    <n v="771"/>
    <x v="8"/>
    <s v="CUST771"/>
    <x v="0"/>
    <n v="24"/>
    <x v="2"/>
    <n v="2"/>
    <n v="25"/>
    <n v="50"/>
  </r>
  <r>
    <n v="772"/>
    <x v="322"/>
    <s v="CUST772"/>
    <x v="0"/>
    <n v="26"/>
    <x v="2"/>
    <n v="1"/>
    <n v="30"/>
    <n v="30"/>
  </r>
  <r>
    <n v="773"/>
    <x v="323"/>
    <s v="CUST773"/>
    <x v="0"/>
    <n v="25"/>
    <x v="2"/>
    <n v="4"/>
    <n v="500"/>
    <n v="2000"/>
  </r>
  <r>
    <n v="774"/>
    <x v="22"/>
    <s v="CUST774"/>
    <x v="1"/>
    <n v="40"/>
    <x v="1"/>
    <n v="2"/>
    <n v="25"/>
    <n v="50"/>
  </r>
  <r>
    <n v="775"/>
    <x v="195"/>
    <s v="CUST775"/>
    <x v="1"/>
    <n v="46"/>
    <x v="2"/>
    <n v="4"/>
    <n v="25"/>
    <n v="100"/>
  </r>
  <r>
    <n v="776"/>
    <x v="315"/>
    <s v="CUST776"/>
    <x v="0"/>
    <n v="35"/>
    <x v="1"/>
    <n v="3"/>
    <n v="30"/>
    <n v="90"/>
  </r>
  <r>
    <n v="777"/>
    <x v="156"/>
    <s v="CUST777"/>
    <x v="0"/>
    <n v="48"/>
    <x v="2"/>
    <n v="3"/>
    <n v="50"/>
    <n v="150"/>
  </r>
  <r>
    <n v="778"/>
    <x v="51"/>
    <s v="CUST778"/>
    <x v="1"/>
    <n v="47"/>
    <x v="0"/>
    <n v="4"/>
    <n v="25"/>
    <n v="100"/>
  </r>
  <r>
    <n v="779"/>
    <x v="179"/>
    <s v="CUST779"/>
    <x v="1"/>
    <n v="56"/>
    <x v="2"/>
    <n v="2"/>
    <n v="500"/>
    <n v="1000"/>
  </r>
  <r>
    <n v="780"/>
    <x v="7"/>
    <s v="CUST780"/>
    <x v="0"/>
    <n v="52"/>
    <x v="2"/>
    <n v="2"/>
    <n v="25"/>
    <n v="50"/>
  </r>
  <r>
    <n v="781"/>
    <x v="204"/>
    <s v="CUST781"/>
    <x v="0"/>
    <n v="35"/>
    <x v="0"/>
    <n v="1"/>
    <n v="500"/>
    <n v="500"/>
  </r>
  <r>
    <n v="782"/>
    <x v="234"/>
    <s v="CUST782"/>
    <x v="0"/>
    <n v="59"/>
    <x v="1"/>
    <n v="3"/>
    <n v="300"/>
    <n v="900"/>
  </r>
  <r>
    <n v="783"/>
    <x v="82"/>
    <s v="CUST783"/>
    <x v="1"/>
    <n v="56"/>
    <x v="1"/>
    <n v="1"/>
    <n v="300"/>
    <n v="300"/>
  </r>
  <r>
    <n v="784"/>
    <x v="324"/>
    <s v="CUST784"/>
    <x v="1"/>
    <n v="34"/>
    <x v="2"/>
    <n v="1"/>
    <n v="500"/>
    <n v="500"/>
  </r>
  <r>
    <n v="785"/>
    <x v="163"/>
    <s v="CUST785"/>
    <x v="1"/>
    <n v="31"/>
    <x v="0"/>
    <n v="4"/>
    <n v="50"/>
    <n v="200"/>
  </r>
  <r>
    <n v="786"/>
    <x v="222"/>
    <s v="CUST786"/>
    <x v="0"/>
    <n v="48"/>
    <x v="1"/>
    <n v="4"/>
    <n v="25"/>
    <n v="100"/>
  </r>
  <r>
    <n v="787"/>
    <x v="256"/>
    <s v="CUST787"/>
    <x v="0"/>
    <n v="41"/>
    <x v="2"/>
    <n v="1"/>
    <n v="25"/>
    <n v="25"/>
  </r>
  <r>
    <n v="788"/>
    <x v="325"/>
    <s v="CUST788"/>
    <x v="1"/>
    <n v="52"/>
    <x v="0"/>
    <n v="3"/>
    <n v="300"/>
    <n v="900"/>
  </r>
  <r>
    <n v="789"/>
    <x v="148"/>
    <s v="CUST789"/>
    <x v="1"/>
    <n v="61"/>
    <x v="1"/>
    <n v="4"/>
    <n v="500"/>
    <n v="2000"/>
  </r>
  <r>
    <n v="790"/>
    <x v="102"/>
    <s v="CUST790"/>
    <x v="0"/>
    <n v="62"/>
    <x v="1"/>
    <n v="1"/>
    <n v="25"/>
    <n v="25"/>
  </r>
  <r>
    <n v="791"/>
    <x v="59"/>
    <s v="CUST791"/>
    <x v="1"/>
    <n v="51"/>
    <x v="0"/>
    <n v="1"/>
    <n v="25"/>
    <n v="25"/>
  </r>
  <r>
    <n v="792"/>
    <x v="67"/>
    <s v="CUST792"/>
    <x v="1"/>
    <n v="20"/>
    <x v="0"/>
    <n v="1"/>
    <n v="50"/>
    <n v="50"/>
  </r>
  <r>
    <n v="793"/>
    <x v="57"/>
    <s v="CUST793"/>
    <x v="0"/>
    <n v="54"/>
    <x v="0"/>
    <n v="1"/>
    <n v="30"/>
    <n v="30"/>
  </r>
  <r>
    <n v="794"/>
    <x v="129"/>
    <s v="CUST794"/>
    <x v="1"/>
    <n v="60"/>
    <x v="0"/>
    <n v="1"/>
    <n v="300"/>
    <n v="300"/>
  </r>
  <r>
    <n v="795"/>
    <x v="73"/>
    <s v="CUST795"/>
    <x v="0"/>
    <n v="57"/>
    <x v="2"/>
    <n v="1"/>
    <n v="300"/>
    <n v="300"/>
  </r>
  <r>
    <n v="796"/>
    <x v="33"/>
    <s v="CUST796"/>
    <x v="0"/>
    <n v="43"/>
    <x v="0"/>
    <n v="4"/>
    <n v="30"/>
    <n v="120"/>
  </r>
  <r>
    <n v="797"/>
    <x v="326"/>
    <s v="CUST797"/>
    <x v="0"/>
    <n v="40"/>
    <x v="1"/>
    <n v="3"/>
    <n v="25"/>
    <n v="75"/>
  </r>
  <r>
    <n v="798"/>
    <x v="279"/>
    <s v="CUST798"/>
    <x v="0"/>
    <n v="61"/>
    <x v="1"/>
    <n v="1"/>
    <n v="50"/>
    <n v="50"/>
  </r>
  <r>
    <n v="799"/>
    <x v="140"/>
    <s v="CUST799"/>
    <x v="0"/>
    <n v="56"/>
    <x v="2"/>
    <n v="2"/>
    <n v="50"/>
    <n v="100"/>
  </r>
  <r>
    <n v="800"/>
    <x v="130"/>
    <s v="CUST800"/>
    <x v="0"/>
    <n v="32"/>
    <x v="1"/>
    <n v="4"/>
    <n v="300"/>
    <n v="1200"/>
  </r>
  <r>
    <n v="801"/>
    <x v="327"/>
    <s v="CUST801"/>
    <x v="0"/>
    <n v="21"/>
    <x v="1"/>
    <n v="4"/>
    <n v="50"/>
    <n v="200"/>
  </r>
  <r>
    <n v="802"/>
    <x v="53"/>
    <s v="CUST802"/>
    <x v="1"/>
    <n v="46"/>
    <x v="0"/>
    <n v="1"/>
    <n v="30"/>
    <n v="30"/>
  </r>
  <r>
    <n v="803"/>
    <x v="64"/>
    <s v="CUST803"/>
    <x v="0"/>
    <n v="39"/>
    <x v="1"/>
    <n v="4"/>
    <n v="25"/>
    <n v="100"/>
  </r>
  <r>
    <n v="804"/>
    <x v="44"/>
    <s v="CUST804"/>
    <x v="0"/>
    <n v="42"/>
    <x v="2"/>
    <n v="1"/>
    <n v="30"/>
    <n v="30"/>
  </r>
  <r>
    <n v="805"/>
    <x v="167"/>
    <s v="CUST805"/>
    <x v="1"/>
    <n v="30"/>
    <x v="0"/>
    <n v="3"/>
    <n v="500"/>
    <n v="1500"/>
  </r>
  <r>
    <n v="806"/>
    <x v="111"/>
    <s v="CUST806"/>
    <x v="1"/>
    <n v="35"/>
    <x v="0"/>
    <n v="3"/>
    <n v="300"/>
    <n v="900"/>
  </r>
  <r>
    <n v="807"/>
    <x v="124"/>
    <s v="CUST807"/>
    <x v="1"/>
    <n v="50"/>
    <x v="2"/>
    <n v="4"/>
    <n v="50"/>
    <n v="200"/>
  </r>
  <r>
    <n v="808"/>
    <x v="258"/>
    <s v="CUST808"/>
    <x v="0"/>
    <n v="33"/>
    <x v="0"/>
    <n v="4"/>
    <n v="500"/>
    <n v="2000"/>
  </r>
  <r>
    <n v="809"/>
    <x v="223"/>
    <s v="CUST809"/>
    <x v="1"/>
    <n v="62"/>
    <x v="0"/>
    <n v="2"/>
    <n v="50"/>
    <n v="100"/>
  </r>
  <r>
    <n v="810"/>
    <x v="198"/>
    <s v="CUST810"/>
    <x v="0"/>
    <n v="59"/>
    <x v="2"/>
    <n v="4"/>
    <n v="25"/>
    <n v="100"/>
  </r>
  <r>
    <n v="811"/>
    <x v="79"/>
    <s v="CUST811"/>
    <x v="0"/>
    <n v="61"/>
    <x v="0"/>
    <n v="2"/>
    <n v="25"/>
    <n v="50"/>
  </r>
  <r>
    <n v="812"/>
    <x v="281"/>
    <s v="CUST812"/>
    <x v="0"/>
    <n v="19"/>
    <x v="2"/>
    <n v="3"/>
    <n v="25"/>
    <n v="75"/>
  </r>
  <r>
    <n v="813"/>
    <x v="99"/>
    <s v="CUST813"/>
    <x v="0"/>
    <n v="52"/>
    <x v="2"/>
    <n v="3"/>
    <n v="50"/>
    <n v="150"/>
  </r>
  <r>
    <n v="814"/>
    <x v="328"/>
    <s v="CUST814"/>
    <x v="1"/>
    <n v="59"/>
    <x v="1"/>
    <n v="1"/>
    <n v="500"/>
    <n v="500"/>
  </r>
  <r>
    <n v="815"/>
    <x v="286"/>
    <s v="CUST815"/>
    <x v="1"/>
    <n v="51"/>
    <x v="1"/>
    <n v="3"/>
    <n v="25"/>
    <n v="75"/>
  </r>
  <r>
    <n v="816"/>
    <x v="269"/>
    <s v="CUST816"/>
    <x v="0"/>
    <n v="47"/>
    <x v="0"/>
    <n v="2"/>
    <n v="500"/>
    <n v="1000"/>
  </r>
  <r>
    <n v="817"/>
    <x v="315"/>
    <s v="CUST817"/>
    <x v="0"/>
    <n v="30"/>
    <x v="0"/>
    <n v="4"/>
    <n v="50"/>
    <n v="200"/>
  </r>
  <r>
    <n v="818"/>
    <x v="88"/>
    <s v="CUST818"/>
    <x v="0"/>
    <n v="30"/>
    <x v="2"/>
    <n v="1"/>
    <n v="500"/>
    <n v="500"/>
  </r>
  <r>
    <n v="819"/>
    <x v="139"/>
    <s v="CUST819"/>
    <x v="1"/>
    <n v="35"/>
    <x v="0"/>
    <n v="2"/>
    <n v="50"/>
    <n v="100"/>
  </r>
  <r>
    <n v="820"/>
    <x v="4"/>
    <s v="CUST820"/>
    <x v="0"/>
    <n v="49"/>
    <x v="2"/>
    <n v="4"/>
    <n v="50"/>
    <n v="200"/>
  </r>
  <r>
    <n v="821"/>
    <x v="10"/>
    <s v="CUST821"/>
    <x v="0"/>
    <n v="49"/>
    <x v="2"/>
    <n v="1"/>
    <n v="300"/>
    <n v="300"/>
  </r>
  <r>
    <n v="822"/>
    <x v="29"/>
    <s v="CUST822"/>
    <x v="1"/>
    <n v="52"/>
    <x v="0"/>
    <n v="3"/>
    <n v="50"/>
    <n v="150"/>
  </r>
  <r>
    <n v="823"/>
    <x v="304"/>
    <s v="CUST823"/>
    <x v="1"/>
    <n v="56"/>
    <x v="2"/>
    <n v="2"/>
    <n v="50"/>
    <n v="100"/>
  </r>
  <r>
    <n v="824"/>
    <x v="179"/>
    <s v="CUST824"/>
    <x v="0"/>
    <n v="63"/>
    <x v="1"/>
    <n v="4"/>
    <n v="30"/>
    <n v="120"/>
  </r>
  <r>
    <n v="825"/>
    <x v="300"/>
    <s v="CUST825"/>
    <x v="1"/>
    <n v="46"/>
    <x v="0"/>
    <n v="1"/>
    <n v="25"/>
    <n v="25"/>
  </r>
  <r>
    <n v="826"/>
    <x v="218"/>
    <s v="CUST826"/>
    <x v="1"/>
    <n v="46"/>
    <x v="1"/>
    <n v="1"/>
    <n v="300"/>
    <n v="300"/>
  </r>
  <r>
    <n v="827"/>
    <x v="289"/>
    <s v="CUST827"/>
    <x v="0"/>
    <n v="61"/>
    <x v="0"/>
    <n v="3"/>
    <n v="300"/>
    <n v="900"/>
  </r>
  <r>
    <n v="828"/>
    <x v="174"/>
    <s v="CUST828"/>
    <x v="1"/>
    <n v="33"/>
    <x v="2"/>
    <n v="4"/>
    <n v="300"/>
    <n v="1200"/>
  </r>
  <r>
    <n v="829"/>
    <x v="37"/>
    <s v="CUST829"/>
    <x v="0"/>
    <n v="61"/>
    <x v="0"/>
    <n v="3"/>
    <n v="30"/>
    <n v="90"/>
  </r>
  <r>
    <n v="830"/>
    <x v="36"/>
    <s v="CUST830"/>
    <x v="1"/>
    <n v="64"/>
    <x v="1"/>
    <n v="3"/>
    <n v="50"/>
    <n v="150"/>
  </r>
  <r>
    <n v="831"/>
    <x v="267"/>
    <s v="CUST831"/>
    <x v="0"/>
    <n v="27"/>
    <x v="2"/>
    <n v="4"/>
    <n v="25"/>
    <n v="100"/>
  </r>
  <r>
    <n v="832"/>
    <x v="296"/>
    <s v="CUST832"/>
    <x v="0"/>
    <n v="47"/>
    <x v="0"/>
    <n v="4"/>
    <n v="500"/>
    <n v="2000"/>
  </r>
  <r>
    <n v="833"/>
    <x v="83"/>
    <s v="CUST833"/>
    <x v="0"/>
    <n v="42"/>
    <x v="0"/>
    <n v="4"/>
    <n v="50"/>
    <n v="200"/>
  </r>
  <r>
    <n v="834"/>
    <x v="194"/>
    <s v="CUST834"/>
    <x v="1"/>
    <n v="56"/>
    <x v="0"/>
    <n v="2"/>
    <n v="30"/>
    <n v="60"/>
  </r>
  <r>
    <n v="835"/>
    <x v="206"/>
    <s v="CUST835"/>
    <x v="0"/>
    <n v="37"/>
    <x v="1"/>
    <n v="4"/>
    <n v="50"/>
    <n v="200"/>
  </r>
  <r>
    <n v="836"/>
    <x v="90"/>
    <s v="CUST836"/>
    <x v="1"/>
    <n v="22"/>
    <x v="1"/>
    <n v="1"/>
    <n v="50"/>
    <n v="50"/>
  </r>
  <r>
    <n v="837"/>
    <x v="68"/>
    <s v="CUST837"/>
    <x v="0"/>
    <n v="18"/>
    <x v="0"/>
    <n v="3"/>
    <n v="30"/>
    <n v="90"/>
  </r>
  <r>
    <n v="838"/>
    <x v="305"/>
    <s v="CUST838"/>
    <x v="0"/>
    <n v="47"/>
    <x v="2"/>
    <n v="2"/>
    <n v="300"/>
    <n v="600"/>
  </r>
  <r>
    <n v="839"/>
    <x v="33"/>
    <s v="CUST839"/>
    <x v="1"/>
    <n v="20"/>
    <x v="2"/>
    <n v="4"/>
    <n v="300"/>
    <n v="1200"/>
  </r>
  <r>
    <n v="840"/>
    <x v="329"/>
    <s v="CUST840"/>
    <x v="0"/>
    <n v="62"/>
    <x v="1"/>
    <n v="2"/>
    <n v="25"/>
    <n v="50"/>
  </r>
  <r>
    <n v="841"/>
    <x v="113"/>
    <s v="CUST841"/>
    <x v="0"/>
    <n v="31"/>
    <x v="2"/>
    <n v="4"/>
    <n v="25"/>
    <n v="100"/>
  </r>
  <r>
    <n v="842"/>
    <x v="24"/>
    <s v="CUST842"/>
    <x v="1"/>
    <n v="47"/>
    <x v="1"/>
    <n v="2"/>
    <n v="300"/>
    <n v="600"/>
  </r>
  <r>
    <n v="843"/>
    <x v="247"/>
    <s v="CUST843"/>
    <x v="0"/>
    <n v="21"/>
    <x v="0"/>
    <n v="3"/>
    <n v="500"/>
    <n v="1500"/>
  </r>
  <r>
    <n v="844"/>
    <x v="205"/>
    <s v="CUST844"/>
    <x v="0"/>
    <n v="35"/>
    <x v="1"/>
    <n v="3"/>
    <n v="50"/>
    <n v="150"/>
  </r>
  <r>
    <n v="845"/>
    <x v="121"/>
    <s v="CUST845"/>
    <x v="0"/>
    <n v="54"/>
    <x v="1"/>
    <n v="1"/>
    <n v="500"/>
    <n v="500"/>
  </r>
  <r>
    <n v="846"/>
    <x v="161"/>
    <s v="CUST846"/>
    <x v="0"/>
    <n v="42"/>
    <x v="0"/>
    <n v="1"/>
    <n v="50"/>
    <n v="50"/>
  </r>
  <r>
    <n v="847"/>
    <x v="181"/>
    <s v="CUST847"/>
    <x v="1"/>
    <n v="18"/>
    <x v="2"/>
    <n v="4"/>
    <n v="300"/>
    <n v="1200"/>
  </r>
  <r>
    <n v="848"/>
    <x v="146"/>
    <s v="CUST848"/>
    <x v="1"/>
    <n v="63"/>
    <x v="1"/>
    <n v="3"/>
    <n v="25"/>
    <n v="75"/>
  </r>
  <r>
    <n v="849"/>
    <x v="145"/>
    <s v="CUST849"/>
    <x v="0"/>
    <n v="32"/>
    <x v="1"/>
    <n v="2"/>
    <n v="25"/>
    <n v="50"/>
  </r>
  <r>
    <n v="850"/>
    <x v="180"/>
    <s v="CUST850"/>
    <x v="1"/>
    <n v="26"/>
    <x v="0"/>
    <n v="2"/>
    <n v="500"/>
    <n v="1000"/>
  </r>
  <r>
    <n v="851"/>
    <x v="140"/>
    <s v="CUST851"/>
    <x v="0"/>
    <n v="32"/>
    <x v="2"/>
    <n v="2"/>
    <n v="25"/>
    <n v="50"/>
  </r>
  <r>
    <n v="852"/>
    <x v="205"/>
    <s v="CUST852"/>
    <x v="1"/>
    <n v="41"/>
    <x v="1"/>
    <n v="1"/>
    <n v="300"/>
    <n v="300"/>
  </r>
  <r>
    <n v="853"/>
    <x v="145"/>
    <s v="CUST853"/>
    <x v="0"/>
    <n v="21"/>
    <x v="0"/>
    <n v="2"/>
    <n v="500"/>
    <n v="1000"/>
  </r>
  <r>
    <n v="854"/>
    <x v="156"/>
    <s v="CUST854"/>
    <x v="0"/>
    <n v="29"/>
    <x v="1"/>
    <n v="1"/>
    <n v="50"/>
    <n v="50"/>
  </r>
  <r>
    <n v="855"/>
    <x v="152"/>
    <s v="CUST855"/>
    <x v="0"/>
    <n v="54"/>
    <x v="0"/>
    <n v="1"/>
    <n v="25"/>
    <n v="25"/>
  </r>
  <r>
    <n v="856"/>
    <x v="188"/>
    <s v="CUST856"/>
    <x v="0"/>
    <n v="54"/>
    <x v="2"/>
    <n v="4"/>
    <n v="30"/>
    <n v="120"/>
  </r>
  <r>
    <n v="857"/>
    <x v="330"/>
    <s v="CUST857"/>
    <x v="0"/>
    <n v="60"/>
    <x v="2"/>
    <n v="2"/>
    <n v="25"/>
    <n v="50"/>
  </r>
  <r>
    <n v="858"/>
    <x v="331"/>
    <s v="CUST858"/>
    <x v="0"/>
    <n v="23"/>
    <x v="2"/>
    <n v="2"/>
    <n v="50"/>
    <n v="100"/>
  </r>
  <r>
    <n v="859"/>
    <x v="27"/>
    <s v="CUST859"/>
    <x v="1"/>
    <n v="56"/>
    <x v="2"/>
    <n v="3"/>
    <n v="500"/>
    <n v="1500"/>
  </r>
  <r>
    <n v="860"/>
    <x v="332"/>
    <s v="CUST860"/>
    <x v="0"/>
    <n v="63"/>
    <x v="1"/>
    <n v="4"/>
    <n v="50"/>
    <n v="200"/>
  </r>
  <r>
    <n v="861"/>
    <x v="15"/>
    <s v="CUST861"/>
    <x v="1"/>
    <n v="41"/>
    <x v="1"/>
    <n v="3"/>
    <n v="30"/>
    <n v="90"/>
  </r>
  <r>
    <n v="862"/>
    <x v="50"/>
    <s v="CUST862"/>
    <x v="0"/>
    <n v="28"/>
    <x v="2"/>
    <n v="4"/>
    <n v="300"/>
    <n v="1200"/>
  </r>
  <r>
    <n v="863"/>
    <x v="262"/>
    <s v="CUST863"/>
    <x v="1"/>
    <n v="30"/>
    <x v="2"/>
    <n v="2"/>
    <n v="25"/>
    <n v="50"/>
  </r>
  <r>
    <n v="864"/>
    <x v="282"/>
    <s v="CUST864"/>
    <x v="1"/>
    <n v="51"/>
    <x v="2"/>
    <n v="1"/>
    <n v="500"/>
    <n v="500"/>
  </r>
  <r>
    <n v="865"/>
    <x v="333"/>
    <s v="CUST865"/>
    <x v="1"/>
    <n v="42"/>
    <x v="1"/>
    <n v="1"/>
    <n v="300"/>
    <n v="300"/>
  </r>
  <r>
    <n v="866"/>
    <x v="179"/>
    <s v="CUST866"/>
    <x v="0"/>
    <n v="24"/>
    <x v="2"/>
    <n v="1"/>
    <n v="50"/>
    <n v="50"/>
  </r>
  <r>
    <n v="867"/>
    <x v="264"/>
    <s v="CUST867"/>
    <x v="0"/>
    <n v="21"/>
    <x v="2"/>
    <n v="1"/>
    <n v="500"/>
    <n v="500"/>
  </r>
  <r>
    <n v="868"/>
    <x v="237"/>
    <s v="CUST868"/>
    <x v="1"/>
    <n v="25"/>
    <x v="2"/>
    <n v="1"/>
    <n v="300"/>
    <n v="300"/>
  </r>
  <r>
    <n v="869"/>
    <x v="268"/>
    <s v="CUST869"/>
    <x v="0"/>
    <n v="37"/>
    <x v="0"/>
    <n v="3"/>
    <n v="500"/>
    <n v="1500"/>
  </r>
  <r>
    <n v="870"/>
    <x v="321"/>
    <s v="CUST870"/>
    <x v="1"/>
    <n v="46"/>
    <x v="2"/>
    <n v="4"/>
    <n v="30"/>
    <n v="120"/>
  </r>
  <r>
    <n v="871"/>
    <x v="178"/>
    <s v="CUST871"/>
    <x v="0"/>
    <n v="62"/>
    <x v="0"/>
    <n v="2"/>
    <n v="30"/>
    <n v="60"/>
  </r>
  <r>
    <n v="872"/>
    <x v="120"/>
    <s v="CUST872"/>
    <x v="1"/>
    <n v="63"/>
    <x v="0"/>
    <n v="3"/>
    <n v="25"/>
    <n v="75"/>
  </r>
  <r>
    <n v="873"/>
    <x v="136"/>
    <s v="CUST873"/>
    <x v="1"/>
    <n v="27"/>
    <x v="2"/>
    <n v="4"/>
    <n v="25"/>
    <n v="100"/>
  </r>
  <r>
    <n v="874"/>
    <x v="40"/>
    <s v="CUST874"/>
    <x v="0"/>
    <n v="60"/>
    <x v="0"/>
    <n v="1"/>
    <n v="30"/>
    <n v="30"/>
  </r>
  <r>
    <n v="875"/>
    <x v="298"/>
    <s v="CUST875"/>
    <x v="1"/>
    <n v="51"/>
    <x v="2"/>
    <n v="4"/>
    <n v="500"/>
    <n v="2000"/>
  </r>
  <r>
    <n v="876"/>
    <x v="153"/>
    <s v="CUST876"/>
    <x v="0"/>
    <n v="43"/>
    <x v="1"/>
    <n v="4"/>
    <n v="30"/>
    <n v="120"/>
  </r>
  <r>
    <n v="877"/>
    <x v="171"/>
    <s v="CUST877"/>
    <x v="1"/>
    <n v="58"/>
    <x v="1"/>
    <n v="1"/>
    <n v="25"/>
    <n v="25"/>
  </r>
  <r>
    <n v="878"/>
    <x v="313"/>
    <s v="CUST878"/>
    <x v="1"/>
    <n v="20"/>
    <x v="1"/>
    <n v="1"/>
    <n v="30"/>
    <n v="30"/>
  </r>
  <r>
    <n v="879"/>
    <x v="24"/>
    <s v="CUST879"/>
    <x v="0"/>
    <n v="23"/>
    <x v="1"/>
    <n v="1"/>
    <n v="30"/>
    <n v="30"/>
  </r>
  <r>
    <n v="880"/>
    <x v="63"/>
    <s v="CUST880"/>
    <x v="0"/>
    <n v="22"/>
    <x v="0"/>
    <n v="2"/>
    <n v="500"/>
    <n v="1000"/>
  </r>
  <r>
    <n v="881"/>
    <x v="79"/>
    <s v="CUST881"/>
    <x v="0"/>
    <n v="22"/>
    <x v="2"/>
    <n v="1"/>
    <n v="300"/>
    <n v="300"/>
  </r>
  <r>
    <n v="882"/>
    <x v="264"/>
    <s v="CUST882"/>
    <x v="1"/>
    <n v="64"/>
    <x v="2"/>
    <n v="2"/>
    <n v="25"/>
    <n v="50"/>
  </r>
  <r>
    <n v="883"/>
    <x v="119"/>
    <s v="CUST883"/>
    <x v="0"/>
    <n v="40"/>
    <x v="2"/>
    <n v="1"/>
    <n v="500"/>
    <n v="500"/>
  </r>
  <r>
    <n v="884"/>
    <x v="310"/>
    <s v="CUST884"/>
    <x v="1"/>
    <n v="26"/>
    <x v="1"/>
    <n v="2"/>
    <n v="30"/>
    <n v="60"/>
  </r>
  <r>
    <n v="885"/>
    <x v="163"/>
    <s v="CUST885"/>
    <x v="1"/>
    <n v="52"/>
    <x v="1"/>
    <n v="4"/>
    <n v="30"/>
    <n v="120"/>
  </r>
  <r>
    <n v="886"/>
    <x v="55"/>
    <s v="CUST886"/>
    <x v="0"/>
    <n v="37"/>
    <x v="2"/>
    <n v="3"/>
    <n v="300"/>
    <n v="900"/>
  </r>
  <r>
    <n v="887"/>
    <x v="86"/>
    <s v="CUST887"/>
    <x v="0"/>
    <n v="59"/>
    <x v="1"/>
    <n v="4"/>
    <n v="25"/>
    <n v="100"/>
  </r>
  <r>
    <n v="888"/>
    <x v="163"/>
    <s v="CUST888"/>
    <x v="1"/>
    <n v="52"/>
    <x v="2"/>
    <n v="4"/>
    <n v="25"/>
    <n v="100"/>
  </r>
  <r>
    <n v="889"/>
    <x v="45"/>
    <s v="CUST889"/>
    <x v="1"/>
    <n v="35"/>
    <x v="2"/>
    <n v="1"/>
    <n v="50"/>
    <n v="50"/>
  </r>
  <r>
    <n v="890"/>
    <x v="156"/>
    <s v="CUST890"/>
    <x v="0"/>
    <n v="34"/>
    <x v="2"/>
    <n v="2"/>
    <n v="25"/>
    <n v="50"/>
  </r>
  <r>
    <n v="891"/>
    <x v="334"/>
    <s v="CUST891"/>
    <x v="0"/>
    <n v="41"/>
    <x v="2"/>
    <n v="3"/>
    <n v="300"/>
    <n v="900"/>
  </r>
  <r>
    <n v="892"/>
    <x v="55"/>
    <s v="CUST892"/>
    <x v="0"/>
    <n v="20"/>
    <x v="2"/>
    <n v="1"/>
    <n v="50"/>
    <n v="50"/>
  </r>
  <r>
    <n v="893"/>
    <x v="35"/>
    <s v="CUST893"/>
    <x v="0"/>
    <n v="49"/>
    <x v="2"/>
    <n v="1"/>
    <n v="50"/>
    <n v="50"/>
  </r>
  <r>
    <n v="894"/>
    <x v="328"/>
    <s v="CUST894"/>
    <x v="0"/>
    <n v="52"/>
    <x v="2"/>
    <n v="1"/>
    <n v="30"/>
    <n v="30"/>
  </r>
  <r>
    <n v="895"/>
    <x v="247"/>
    <s v="CUST895"/>
    <x v="1"/>
    <n v="55"/>
    <x v="1"/>
    <n v="4"/>
    <n v="30"/>
    <n v="120"/>
  </r>
  <r>
    <n v="896"/>
    <x v="28"/>
    <s v="CUST896"/>
    <x v="1"/>
    <n v="30"/>
    <x v="2"/>
    <n v="2"/>
    <n v="25"/>
    <n v="50"/>
  </r>
  <r>
    <n v="897"/>
    <x v="335"/>
    <s v="CUST897"/>
    <x v="1"/>
    <n v="64"/>
    <x v="2"/>
    <n v="2"/>
    <n v="50"/>
    <n v="100"/>
  </r>
  <r>
    <n v="898"/>
    <x v="113"/>
    <s v="CUST898"/>
    <x v="1"/>
    <n v="42"/>
    <x v="1"/>
    <n v="3"/>
    <n v="30"/>
    <n v="90"/>
  </r>
  <r>
    <n v="899"/>
    <x v="242"/>
    <s v="CUST899"/>
    <x v="0"/>
    <n v="26"/>
    <x v="1"/>
    <n v="2"/>
    <n v="300"/>
    <n v="600"/>
  </r>
  <r>
    <n v="900"/>
    <x v="62"/>
    <s v="CUST900"/>
    <x v="0"/>
    <n v="21"/>
    <x v="1"/>
    <n v="2"/>
    <n v="30"/>
    <n v="60"/>
  </r>
  <r>
    <n v="901"/>
    <x v="294"/>
    <s v="CUST901"/>
    <x v="0"/>
    <n v="31"/>
    <x v="2"/>
    <n v="1"/>
    <n v="30"/>
    <n v="30"/>
  </r>
  <r>
    <n v="902"/>
    <x v="207"/>
    <s v="CUST902"/>
    <x v="1"/>
    <n v="54"/>
    <x v="0"/>
    <n v="1"/>
    <n v="50"/>
    <n v="50"/>
  </r>
  <r>
    <n v="903"/>
    <x v="60"/>
    <s v="CUST903"/>
    <x v="1"/>
    <n v="51"/>
    <x v="0"/>
    <n v="4"/>
    <n v="50"/>
    <n v="200"/>
  </r>
  <r>
    <n v="904"/>
    <x v="336"/>
    <s v="CUST904"/>
    <x v="0"/>
    <n v="28"/>
    <x v="1"/>
    <n v="1"/>
    <n v="500"/>
    <n v="500"/>
  </r>
  <r>
    <n v="905"/>
    <x v="128"/>
    <s v="CUST905"/>
    <x v="0"/>
    <n v="58"/>
    <x v="0"/>
    <n v="1"/>
    <n v="300"/>
    <n v="300"/>
  </r>
  <r>
    <n v="906"/>
    <x v="234"/>
    <s v="CUST906"/>
    <x v="1"/>
    <n v="20"/>
    <x v="1"/>
    <n v="1"/>
    <n v="50"/>
    <n v="50"/>
  </r>
  <r>
    <n v="907"/>
    <x v="199"/>
    <s v="CUST907"/>
    <x v="1"/>
    <n v="45"/>
    <x v="2"/>
    <n v="1"/>
    <n v="25"/>
    <n v="25"/>
  </r>
  <r>
    <n v="908"/>
    <x v="167"/>
    <s v="CUST908"/>
    <x v="0"/>
    <n v="46"/>
    <x v="0"/>
    <n v="4"/>
    <n v="300"/>
    <n v="1200"/>
  </r>
  <r>
    <n v="909"/>
    <x v="77"/>
    <s v="CUST909"/>
    <x v="0"/>
    <n v="26"/>
    <x v="2"/>
    <n v="1"/>
    <n v="300"/>
    <n v="300"/>
  </r>
  <r>
    <n v="910"/>
    <x v="149"/>
    <s v="CUST910"/>
    <x v="1"/>
    <n v="20"/>
    <x v="0"/>
    <n v="3"/>
    <n v="50"/>
    <n v="150"/>
  </r>
  <r>
    <n v="911"/>
    <x v="3"/>
    <s v="CUST911"/>
    <x v="0"/>
    <n v="42"/>
    <x v="2"/>
    <n v="3"/>
    <n v="300"/>
    <n v="900"/>
  </r>
  <r>
    <n v="912"/>
    <x v="58"/>
    <s v="CUST912"/>
    <x v="0"/>
    <n v="51"/>
    <x v="0"/>
    <n v="3"/>
    <n v="50"/>
    <n v="150"/>
  </r>
  <r>
    <n v="913"/>
    <x v="185"/>
    <s v="CUST913"/>
    <x v="0"/>
    <n v="29"/>
    <x v="2"/>
    <n v="3"/>
    <n v="30"/>
    <n v="90"/>
  </r>
  <r>
    <n v="914"/>
    <x v="120"/>
    <s v="CUST914"/>
    <x v="1"/>
    <n v="59"/>
    <x v="2"/>
    <n v="1"/>
    <n v="500"/>
    <n v="500"/>
  </r>
  <r>
    <n v="915"/>
    <x v="337"/>
    <s v="CUST915"/>
    <x v="1"/>
    <n v="26"/>
    <x v="0"/>
    <n v="3"/>
    <n v="30"/>
    <n v="90"/>
  </r>
  <r>
    <n v="916"/>
    <x v="32"/>
    <s v="CUST916"/>
    <x v="1"/>
    <n v="32"/>
    <x v="2"/>
    <n v="1"/>
    <n v="50"/>
    <n v="50"/>
  </r>
  <r>
    <n v="917"/>
    <x v="149"/>
    <s v="CUST917"/>
    <x v="1"/>
    <n v="57"/>
    <x v="2"/>
    <n v="4"/>
    <n v="50"/>
    <n v="200"/>
  </r>
  <r>
    <n v="918"/>
    <x v="250"/>
    <s v="CUST918"/>
    <x v="1"/>
    <n v="42"/>
    <x v="2"/>
    <n v="3"/>
    <n v="30"/>
    <n v="90"/>
  </r>
  <r>
    <n v="919"/>
    <x v="331"/>
    <s v="CUST919"/>
    <x v="1"/>
    <n v="22"/>
    <x v="0"/>
    <n v="2"/>
    <n v="25"/>
    <n v="50"/>
  </r>
  <r>
    <n v="920"/>
    <x v="7"/>
    <s v="CUST920"/>
    <x v="1"/>
    <n v="28"/>
    <x v="0"/>
    <n v="3"/>
    <n v="25"/>
    <n v="75"/>
  </r>
  <r>
    <n v="921"/>
    <x v="326"/>
    <s v="CUST921"/>
    <x v="0"/>
    <n v="51"/>
    <x v="2"/>
    <n v="3"/>
    <n v="25"/>
    <n v="75"/>
  </r>
  <r>
    <n v="922"/>
    <x v="338"/>
    <s v="CUST922"/>
    <x v="0"/>
    <n v="41"/>
    <x v="2"/>
    <n v="1"/>
    <n v="50"/>
    <n v="50"/>
  </r>
  <r>
    <n v="923"/>
    <x v="232"/>
    <s v="CUST923"/>
    <x v="0"/>
    <n v="32"/>
    <x v="0"/>
    <n v="3"/>
    <n v="300"/>
    <n v="900"/>
  </r>
  <r>
    <n v="924"/>
    <x v="261"/>
    <s v="CUST924"/>
    <x v="0"/>
    <n v="55"/>
    <x v="0"/>
    <n v="2"/>
    <n v="50"/>
    <n v="100"/>
  </r>
  <r>
    <n v="925"/>
    <x v="339"/>
    <s v="CUST925"/>
    <x v="0"/>
    <n v="25"/>
    <x v="2"/>
    <n v="1"/>
    <n v="300"/>
    <n v="300"/>
  </r>
  <r>
    <n v="926"/>
    <x v="306"/>
    <s v="CUST926"/>
    <x v="0"/>
    <n v="22"/>
    <x v="2"/>
    <n v="1"/>
    <n v="30"/>
    <n v="30"/>
  </r>
  <r>
    <n v="927"/>
    <x v="33"/>
    <s v="CUST927"/>
    <x v="0"/>
    <n v="43"/>
    <x v="2"/>
    <n v="4"/>
    <n v="500"/>
    <n v="2000"/>
  </r>
  <r>
    <n v="928"/>
    <x v="334"/>
    <s v="CUST928"/>
    <x v="1"/>
    <n v="35"/>
    <x v="1"/>
    <n v="4"/>
    <n v="300"/>
    <n v="1200"/>
  </r>
  <r>
    <n v="929"/>
    <x v="246"/>
    <s v="CUST929"/>
    <x v="1"/>
    <n v="23"/>
    <x v="0"/>
    <n v="3"/>
    <n v="25"/>
    <n v="75"/>
  </r>
  <r>
    <n v="930"/>
    <x v="318"/>
    <s v="CUST930"/>
    <x v="0"/>
    <n v="54"/>
    <x v="1"/>
    <n v="4"/>
    <n v="50"/>
    <n v="200"/>
  </r>
  <r>
    <n v="931"/>
    <x v="211"/>
    <s v="CUST931"/>
    <x v="0"/>
    <n v="30"/>
    <x v="0"/>
    <n v="4"/>
    <n v="30"/>
    <n v="120"/>
  </r>
  <r>
    <n v="932"/>
    <x v="122"/>
    <s v="CUST932"/>
    <x v="1"/>
    <n v="45"/>
    <x v="0"/>
    <n v="4"/>
    <n v="25"/>
    <n v="100"/>
  </r>
  <r>
    <n v="933"/>
    <x v="89"/>
    <s v="CUST933"/>
    <x v="0"/>
    <n v="22"/>
    <x v="0"/>
    <n v="1"/>
    <n v="30"/>
    <n v="30"/>
  </r>
  <r>
    <n v="934"/>
    <x v="87"/>
    <s v="CUST934"/>
    <x v="0"/>
    <n v="30"/>
    <x v="0"/>
    <n v="1"/>
    <n v="500"/>
    <n v="500"/>
  </r>
  <r>
    <n v="935"/>
    <x v="331"/>
    <s v="CUST935"/>
    <x v="1"/>
    <n v="34"/>
    <x v="0"/>
    <n v="1"/>
    <n v="50"/>
    <n v="50"/>
  </r>
  <r>
    <n v="936"/>
    <x v="227"/>
    <s v="CUST936"/>
    <x v="0"/>
    <n v="57"/>
    <x v="0"/>
    <n v="4"/>
    <n v="50"/>
    <n v="200"/>
  </r>
  <r>
    <n v="937"/>
    <x v="54"/>
    <s v="CUST937"/>
    <x v="1"/>
    <n v="62"/>
    <x v="0"/>
    <n v="1"/>
    <n v="500"/>
    <n v="500"/>
  </r>
  <r>
    <n v="938"/>
    <x v="292"/>
    <s v="CUST938"/>
    <x v="0"/>
    <n v="49"/>
    <x v="1"/>
    <n v="4"/>
    <n v="50"/>
    <n v="200"/>
  </r>
  <r>
    <n v="939"/>
    <x v="244"/>
    <s v="CUST939"/>
    <x v="1"/>
    <n v="46"/>
    <x v="2"/>
    <n v="1"/>
    <n v="300"/>
    <n v="300"/>
  </r>
  <r>
    <n v="940"/>
    <x v="185"/>
    <s v="CUST940"/>
    <x v="1"/>
    <n v="20"/>
    <x v="2"/>
    <n v="1"/>
    <n v="30"/>
    <n v="30"/>
  </r>
  <r>
    <n v="941"/>
    <x v="309"/>
    <s v="CUST941"/>
    <x v="1"/>
    <n v="57"/>
    <x v="1"/>
    <n v="2"/>
    <n v="25"/>
    <n v="50"/>
  </r>
  <r>
    <n v="942"/>
    <x v="253"/>
    <s v="CUST942"/>
    <x v="0"/>
    <n v="51"/>
    <x v="1"/>
    <n v="3"/>
    <n v="500"/>
    <n v="1500"/>
  </r>
  <r>
    <n v="943"/>
    <x v="230"/>
    <s v="CUST943"/>
    <x v="1"/>
    <n v="57"/>
    <x v="1"/>
    <n v="4"/>
    <n v="300"/>
    <n v="1200"/>
  </r>
  <r>
    <n v="944"/>
    <x v="284"/>
    <s v="CUST944"/>
    <x v="0"/>
    <n v="44"/>
    <x v="1"/>
    <n v="2"/>
    <n v="25"/>
    <n v="50"/>
  </r>
  <r>
    <n v="945"/>
    <x v="146"/>
    <s v="CUST945"/>
    <x v="0"/>
    <n v="30"/>
    <x v="0"/>
    <n v="1"/>
    <n v="25"/>
    <n v="25"/>
  </r>
  <r>
    <n v="946"/>
    <x v="193"/>
    <s v="CUST946"/>
    <x v="0"/>
    <n v="62"/>
    <x v="2"/>
    <n v="4"/>
    <n v="500"/>
    <n v="2000"/>
  </r>
  <r>
    <n v="947"/>
    <x v="340"/>
    <s v="CUST947"/>
    <x v="0"/>
    <n v="50"/>
    <x v="0"/>
    <n v="1"/>
    <n v="300"/>
    <n v="300"/>
  </r>
  <r>
    <n v="948"/>
    <x v="81"/>
    <s v="CUST948"/>
    <x v="1"/>
    <n v="23"/>
    <x v="2"/>
    <n v="3"/>
    <n v="25"/>
    <n v="75"/>
  </r>
  <r>
    <n v="949"/>
    <x v="341"/>
    <s v="CUST949"/>
    <x v="1"/>
    <n v="41"/>
    <x v="2"/>
    <n v="2"/>
    <n v="25"/>
    <n v="50"/>
  </r>
  <r>
    <n v="950"/>
    <x v="155"/>
    <s v="CUST950"/>
    <x v="0"/>
    <n v="36"/>
    <x v="1"/>
    <n v="3"/>
    <n v="300"/>
    <n v="900"/>
  </r>
  <r>
    <n v="951"/>
    <x v="113"/>
    <s v="CUST951"/>
    <x v="0"/>
    <n v="33"/>
    <x v="0"/>
    <n v="2"/>
    <n v="50"/>
    <n v="100"/>
  </r>
  <r>
    <n v="952"/>
    <x v="52"/>
    <s v="CUST952"/>
    <x v="1"/>
    <n v="57"/>
    <x v="1"/>
    <n v="1"/>
    <n v="25"/>
    <n v="25"/>
  </r>
  <r>
    <n v="953"/>
    <x v="164"/>
    <s v="CUST953"/>
    <x v="0"/>
    <n v="45"/>
    <x v="0"/>
    <n v="3"/>
    <n v="30"/>
    <n v="90"/>
  </r>
  <r>
    <n v="954"/>
    <x v="223"/>
    <s v="CUST954"/>
    <x v="1"/>
    <n v="50"/>
    <x v="2"/>
    <n v="3"/>
    <n v="300"/>
    <n v="900"/>
  </r>
  <r>
    <n v="955"/>
    <x v="37"/>
    <s v="CUST955"/>
    <x v="0"/>
    <n v="58"/>
    <x v="1"/>
    <n v="1"/>
    <n v="25"/>
    <n v="25"/>
  </r>
  <r>
    <n v="956"/>
    <x v="304"/>
    <s v="CUST956"/>
    <x v="0"/>
    <n v="30"/>
    <x v="1"/>
    <n v="3"/>
    <n v="500"/>
    <n v="1500"/>
  </r>
  <r>
    <n v="957"/>
    <x v="196"/>
    <s v="CUST957"/>
    <x v="1"/>
    <n v="60"/>
    <x v="2"/>
    <n v="4"/>
    <n v="30"/>
    <n v="120"/>
  </r>
  <r>
    <n v="958"/>
    <x v="132"/>
    <s v="CUST958"/>
    <x v="0"/>
    <n v="62"/>
    <x v="2"/>
    <n v="2"/>
    <n v="25"/>
    <n v="50"/>
  </r>
  <r>
    <n v="959"/>
    <x v="28"/>
    <s v="CUST959"/>
    <x v="1"/>
    <n v="42"/>
    <x v="2"/>
    <n v="2"/>
    <n v="30"/>
    <n v="60"/>
  </r>
  <r>
    <n v="960"/>
    <x v="102"/>
    <s v="CUST960"/>
    <x v="0"/>
    <n v="59"/>
    <x v="1"/>
    <n v="2"/>
    <n v="30"/>
    <n v="60"/>
  </r>
  <r>
    <n v="961"/>
    <x v="264"/>
    <s v="CUST961"/>
    <x v="0"/>
    <n v="53"/>
    <x v="0"/>
    <n v="4"/>
    <n v="50"/>
    <n v="200"/>
  </r>
  <r>
    <n v="962"/>
    <x v="218"/>
    <s v="CUST962"/>
    <x v="0"/>
    <n v="44"/>
    <x v="1"/>
    <n v="2"/>
    <n v="30"/>
    <n v="60"/>
  </r>
  <r>
    <n v="963"/>
    <x v="220"/>
    <s v="CUST963"/>
    <x v="1"/>
    <n v="55"/>
    <x v="0"/>
    <n v="1"/>
    <n v="50"/>
    <n v="50"/>
  </r>
  <r>
    <n v="964"/>
    <x v="169"/>
    <s v="CUST964"/>
    <x v="0"/>
    <n v="24"/>
    <x v="1"/>
    <n v="3"/>
    <n v="300"/>
    <n v="900"/>
  </r>
  <r>
    <n v="965"/>
    <x v="289"/>
    <s v="CUST965"/>
    <x v="0"/>
    <n v="22"/>
    <x v="1"/>
    <n v="4"/>
    <n v="50"/>
    <n v="200"/>
  </r>
  <r>
    <n v="966"/>
    <x v="189"/>
    <s v="CUST966"/>
    <x v="0"/>
    <n v="60"/>
    <x v="2"/>
    <n v="2"/>
    <n v="500"/>
    <n v="1000"/>
  </r>
  <r>
    <n v="967"/>
    <x v="342"/>
    <s v="CUST967"/>
    <x v="0"/>
    <n v="62"/>
    <x v="0"/>
    <n v="1"/>
    <n v="25"/>
    <n v="25"/>
  </r>
  <r>
    <n v="968"/>
    <x v="131"/>
    <s v="CUST968"/>
    <x v="1"/>
    <n v="48"/>
    <x v="1"/>
    <n v="3"/>
    <n v="300"/>
    <n v="900"/>
  </r>
  <r>
    <n v="969"/>
    <x v="90"/>
    <s v="CUST969"/>
    <x v="1"/>
    <n v="40"/>
    <x v="1"/>
    <n v="3"/>
    <n v="300"/>
    <n v="900"/>
  </r>
  <r>
    <n v="970"/>
    <x v="42"/>
    <s v="CUST970"/>
    <x v="0"/>
    <n v="59"/>
    <x v="2"/>
    <n v="4"/>
    <n v="500"/>
    <n v="2000"/>
  </r>
  <r>
    <n v="971"/>
    <x v="59"/>
    <s v="CUST971"/>
    <x v="1"/>
    <n v="27"/>
    <x v="2"/>
    <n v="4"/>
    <n v="50"/>
    <n v="200"/>
  </r>
  <r>
    <n v="972"/>
    <x v="213"/>
    <s v="CUST972"/>
    <x v="0"/>
    <n v="49"/>
    <x v="0"/>
    <n v="4"/>
    <n v="25"/>
    <n v="100"/>
  </r>
  <r>
    <n v="973"/>
    <x v="125"/>
    <s v="CUST973"/>
    <x v="0"/>
    <n v="60"/>
    <x v="1"/>
    <n v="1"/>
    <n v="50"/>
    <n v="50"/>
  </r>
  <r>
    <n v="974"/>
    <x v="143"/>
    <s v="CUST974"/>
    <x v="0"/>
    <n v="47"/>
    <x v="0"/>
    <n v="1"/>
    <n v="30"/>
    <n v="30"/>
  </r>
  <r>
    <n v="975"/>
    <x v="343"/>
    <s v="CUST975"/>
    <x v="1"/>
    <n v="56"/>
    <x v="1"/>
    <n v="4"/>
    <n v="50"/>
    <n v="200"/>
  </r>
  <r>
    <n v="976"/>
    <x v="49"/>
    <s v="CUST976"/>
    <x v="1"/>
    <n v="48"/>
    <x v="0"/>
    <n v="2"/>
    <n v="300"/>
    <n v="600"/>
  </r>
  <r>
    <n v="977"/>
    <x v="195"/>
    <s v="CUST977"/>
    <x v="1"/>
    <n v="35"/>
    <x v="2"/>
    <n v="3"/>
    <n v="25"/>
    <n v="75"/>
  </r>
  <r>
    <n v="978"/>
    <x v="125"/>
    <s v="CUST978"/>
    <x v="1"/>
    <n v="53"/>
    <x v="1"/>
    <n v="3"/>
    <n v="50"/>
    <n v="150"/>
  </r>
  <r>
    <n v="979"/>
    <x v="126"/>
    <s v="CUST979"/>
    <x v="1"/>
    <n v="19"/>
    <x v="0"/>
    <n v="1"/>
    <n v="25"/>
    <n v="25"/>
  </r>
  <r>
    <n v="980"/>
    <x v="277"/>
    <s v="CUST980"/>
    <x v="1"/>
    <n v="31"/>
    <x v="2"/>
    <n v="3"/>
    <n v="25"/>
    <n v="75"/>
  </r>
  <r>
    <n v="981"/>
    <x v="304"/>
    <s v="CUST981"/>
    <x v="1"/>
    <n v="30"/>
    <x v="2"/>
    <n v="2"/>
    <n v="30"/>
    <n v="60"/>
  </r>
  <r>
    <n v="982"/>
    <x v="80"/>
    <s v="CUST982"/>
    <x v="1"/>
    <n v="46"/>
    <x v="0"/>
    <n v="3"/>
    <n v="30"/>
    <n v="90"/>
  </r>
  <r>
    <n v="983"/>
    <x v="215"/>
    <s v="CUST983"/>
    <x v="1"/>
    <n v="29"/>
    <x v="1"/>
    <n v="1"/>
    <n v="300"/>
    <n v="300"/>
  </r>
  <r>
    <n v="984"/>
    <x v="261"/>
    <s v="CUST984"/>
    <x v="0"/>
    <n v="56"/>
    <x v="1"/>
    <n v="1"/>
    <n v="500"/>
    <n v="500"/>
  </r>
  <r>
    <n v="985"/>
    <x v="337"/>
    <s v="CUST985"/>
    <x v="1"/>
    <n v="19"/>
    <x v="2"/>
    <n v="2"/>
    <n v="25"/>
    <n v="50"/>
  </r>
  <r>
    <n v="986"/>
    <x v="13"/>
    <s v="CUST986"/>
    <x v="1"/>
    <n v="49"/>
    <x v="1"/>
    <n v="2"/>
    <n v="500"/>
    <n v="1000"/>
  </r>
  <r>
    <n v="987"/>
    <x v="310"/>
    <s v="CUST987"/>
    <x v="1"/>
    <n v="30"/>
    <x v="1"/>
    <n v="3"/>
    <n v="300"/>
    <n v="900"/>
  </r>
  <r>
    <n v="988"/>
    <x v="344"/>
    <s v="CUST988"/>
    <x v="1"/>
    <n v="63"/>
    <x v="1"/>
    <n v="3"/>
    <n v="25"/>
    <n v="75"/>
  </r>
  <r>
    <n v="989"/>
    <x v="251"/>
    <s v="CUST989"/>
    <x v="1"/>
    <n v="44"/>
    <x v="2"/>
    <n v="1"/>
    <n v="25"/>
    <n v="25"/>
  </r>
  <r>
    <n v="990"/>
    <x v="242"/>
    <s v="CUST990"/>
    <x v="1"/>
    <n v="58"/>
    <x v="0"/>
    <n v="2"/>
    <n v="500"/>
    <n v="1000"/>
  </r>
  <r>
    <n v="991"/>
    <x v="24"/>
    <s v="CUST991"/>
    <x v="1"/>
    <n v="34"/>
    <x v="1"/>
    <n v="2"/>
    <n v="50"/>
    <n v="100"/>
  </r>
  <r>
    <n v="992"/>
    <x v="63"/>
    <s v="CUST992"/>
    <x v="1"/>
    <n v="57"/>
    <x v="2"/>
    <n v="2"/>
    <n v="30"/>
    <n v="60"/>
  </r>
  <r>
    <n v="993"/>
    <x v="74"/>
    <s v="CUST993"/>
    <x v="1"/>
    <n v="48"/>
    <x v="2"/>
    <n v="3"/>
    <n v="50"/>
    <n v="150"/>
  </r>
  <r>
    <n v="994"/>
    <x v="244"/>
    <s v="CUST994"/>
    <x v="1"/>
    <n v="51"/>
    <x v="0"/>
    <n v="2"/>
    <n v="500"/>
    <n v="1000"/>
  </r>
  <r>
    <n v="995"/>
    <x v="17"/>
    <s v="CUST995"/>
    <x v="1"/>
    <n v="41"/>
    <x v="1"/>
    <n v="1"/>
    <n v="30"/>
    <n v="30"/>
  </r>
  <r>
    <n v="996"/>
    <x v="42"/>
    <s v="CUST996"/>
    <x v="0"/>
    <n v="62"/>
    <x v="1"/>
    <n v="1"/>
    <n v="50"/>
    <n v="50"/>
  </r>
  <r>
    <n v="997"/>
    <x v="131"/>
    <s v="CUST997"/>
    <x v="0"/>
    <n v="52"/>
    <x v="0"/>
    <n v="3"/>
    <n v="30"/>
    <n v="90"/>
  </r>
  <r>
    <n v="998"/>
    <x v="28"/>
    <s v="CUST998"/>
    <x v="1"/>
    <n v="23"/>
    <x v="0"/>
    <n v="4"/>
    <n v="25"/>
    <n v="100"/>
  </r>
  <r>
    <n v="999"/>
    <x v="59"/>
    <s v="CUST999"/>
    <x v="1"/>
    <n v="36"/>
    <x v="2"/>
    <n v="3"/>
    <n v="50"/>
    <n v="150"/>
  </r>
  <r>
    <n v="1000"/>
    <x v="22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D2FC1-959F-4102-B3BD-9D13345E5336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6" firstHeaderRow="1" firstDataRow="2" firstDataCol="1"/>
  <pivotFields count="10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total revenue" fld="8" baseField="0" baseItem="0"/>
  </dataFields>
  <formats count="3">
    <format dxfId="25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  <format dxfId="24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  <format dxfId="23">
      <pivotArea field="5" grandCol="1" collapsedLevelsAreSubtotals="1" axis="axisRow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4B0C0-EAC0-4827-88CC-1DCBC4221DA8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ategori produk">
  <location ref="A3:B7" firstHeaderRow="1" firstDataRow="1" firstDataCol="1"/>
  <pivotFields count="10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8" baseField="0" baseItem="0"/>
  </dataFields>
  <formats count="2">
    <format dxfId="22">
      <pivotArea collapsedLevelsAreSubtotals="1" fieldPosition="0">
        <references count="1">
          <reference field="5" count="1">
            <x v="2"/>
          </reference>
        </references>
      </pivotArea>
    </format>
    <format dxfId="21">
      <pivotArea collapsedLevelsAreSubtotals="1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90884-EB2F-4D4E-9F04-1EB253831ACE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 rowPageCount="1" colPageCount="1"/>
  <pivotFields count="10">
    <pivotField showAll="0"/>
    <pivotField axis="axisPage" numFmtId="14" multipleItemSelectionAllowed="1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h="1" x="1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-1"/>
  </pageFields>
  <dataFields count="1">
    <dataField name="total revenue" fld="8" baseField="0" baseItem="0" numFmtId="43"/>
  </dataFields>
  <formats count="1">
    <format dxfId="2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42385-917C-4B52-AB13-8427783000AE}" name="PivotTable10" cacheId="4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2">
  <location ref="A6:D11" firstHeaderRow="1" firstDataRow="2" firstDataCol="1"/>
  <pivotFields count="10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total revenue" fld="8" baseField="0" baseItem="0"/>
  </dataFields>
  <formats count="20">
    <format dxfId="17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  <format dxfId="18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  <format dxfId="19">
      <pivotArea field="5" grandCol="1" collapsedLevelsAreSubtotals="1" axis="axisRow" fieldPosition="0">
        <references count="1">
          <reference field="5" count="1">
            <x v="0"/>
          </reference>
        </references>
      </pivotArea>
    </format>
    <format dxfId="16">
      <pivotArea outline="0" collapsedLevelsAreSubtotals="1" fieldPosition="0">
        <references count="1">
          <reference field="3" count="0" selected="0"/>
        </references>
      </pivotArea>
    </format>
    <format dxfId="15">
      <pivotArea type="origin" dataOnly="0" labelOnly="1" outline="0" fieldPosition="0"/>
    </format>
    <format dxfId="14">
      <pivotArea type="topRight" dataOnly="0" labelOnly="1" outline="0" offset="A1" fieldPosition="0"/>
    </format>
    <format dxfId="13">
      <pivotArea dataOnly="0" labelOnly="1" fieldPosition="0">
        <references count="1">
          <reference field="5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type="topRight" dataOnly="0" labelOnly="1" outline="0" offset="B1" fieldPosition="0"/>
    </format>
    <format dxfId="9">
      <pivotArea dataOnly="0" labelOnly="1" grandCol="1" outline="0" fieldPosition="0"/>
    </format>
    <format dxfId="8">
      <pivotArea field="5" grandCol="1" collapsedLevelsAreSubtotals="1" axis="axisRow" fieldPosition="0">
        <references count="1">
          <reference field="5" count="1">
            <x v="1"/>
          </reference>
        </references>
      </pivotArea>
    </format>
    <format dxfId="7">
      <pivotArea grandRow="1" grandCol="1" outline="0" collapsedLevelsAreSubtotals="1" fieldPosition="0"/>
    </format>
    <format dxfId="6">
      <pivotArea collapsedLevelsAreSubtotals="1" fieldPosition="0">
        <references count="2">
          <reference field="3" count="0" selected="0"/>
          <reference field="5" count="0"/>
        </references>
      </pivotArea>
    </format>
    <format dxfId="5">
      <pivotArea field="5" grandCol="1" collapsedLevelsAreSubtotals="1" axis="axisRow" fieldPosition="0">
        <references count="1">
          <reference field="5" count="1">
            <x v="1"/>
          </reference>
        </references>
      </pivotArea>
    </format>
    <format dxfId="4">
      <pivotArea outline="0" collapsedLevelsAreSubtotals="1" fieldPosition="0">
        <references count="1">
          <reference field="3" count="0" selected="0"/>
        </references>
      </pivotArea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grandRow="1" grandCol="1" outline="0" collapsedLevelsAreSubtotals="1" fieldPosition="0"/>
    </format>
    <format dxfId="0">
      <pivotArea grandRow="1" grandCol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8B05B3-ACF1-4530-8149-2699F4D85906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23BCB-9A47-462D-BCF9-F9A9DEAC9C14}" name="rawa_data" displayName="rawa_data" ref="A1:I1001" tableType="queryTable" totalsRowShown="0">
  <autoFilter ref="A1:I1001" xr:uid="{0B523BCB-9A47-462D-BCF9-F9A9DEAC9C14}"/>
  <tableColumns count="9">
    <tableColumn id="1" xr3:uid="{0D150675-05D7-4025-9988-B0945A0311CB}" uniqueName="1" name="Transaction ID" queryTableFieldId="1"/>
    <tableColumn id="2" xr3:uid="{9DBE98A4-F812-46BB-A969-9C8502451412}" uniqueName="2" name="Date" queryTableFieldId="2" dataDxfId="29"/>
    <tableColumn id="3" xr3:uid="{DF04AF72-1E07-4DBA-B45C-2C95BA0FE323}" uniqueName="3" name="Customer ID" queryTableFieldId="3" dataDxfId="28"/>
    <tableColumn id="4" xr3:uid="{1292908F-EA1A-44C8-AC18-34289E1489B3}" uniqueName="4" name="Gender" queryTableFieldId="4" dataDxfId="27"/>
    <tableColumn id="5" xr3:uid="{91227243-2880-4FB4-9303-C3205F9B7E2D}" uniqueName="5" name="Age" queryTableFieldId="5"/>
    <tableColumn id="6" xr3:uid="{62C85223-4838-43AB-B234-9163E4169193}" uniqueName="6" name="Product Category" queryTableFieldId="6" dataDxfId="26"/>
    <tableColumn id="7" xr3:uid="{CC15F9B7-4E2C-4741-AB97-9D0750F4A901}" uniqueName="7" name="Quantity" queryTableFieldId="7"/>
    <tableColumn id="8" xr3:uid="{EF5300F0-FF90-41D1-B01F-7B79E80AACC6}" uniqueName="8" name="Price per Unit" queryTableFieldId="8"/>
    <tableColumn id="9" xr3:uid="{6347DE09-94F9-4876-868F-F6C7ABCC1B11}" uniqueName="9" name="Total 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92FC-AAE3-4112-BA40-83FC0AEF339B}">
  <dimension ref="A1:I1001"/>
  <sheetViews>
    <sheetView tabSelected="1" workbookViewId="0">
      <selection activeCell="D3" sqref="D3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4.140625" bestFit="1" customWidth="1"/>
    <col min="4" max="4" width="10" bestFit="1" customWidth="1"/>
    <col min="5" max="5" width="6.7109375" bestFit="1" customWidth="1"/>
    <col min="6" max="6" width="18.5703125" bestFit="1" customWidth="1"/>
    <col min="7" max="7" width="11" bestFit="1" customWidth="1"/>
    <col min="8" max="8" width="15.5703125" bestFit="1" customWidth="1"/>
    <col min="9" max="9" width="15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s="2" t="s">
        <v>9</v>
      </c>
      <c r="D2" s="2" t="s">
        <v>10</v>
      </c>
      <c r="E2">
        <v>34</v>
      </c>
      <c r="F2" s="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s="2" t="s">
        <v>12</v>
      </c>
      <c r="D3" s="2" t="s">
        <v>13</v>
      </c>
      <c r="E3">
        <v>26</v>
      </c>
      <c r="F3" s="2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s="2" t="s">
        <v>15</v>
      </c>
      <c r="D4" s="2" t="s">
        <v>10</v>
      </c>
      <c r="E4">
        <v>50</v>
      </c>
      <c r="F4" s="2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s="2" t="s">
        <v>17</v>
      </c>
      <c r="D5" s="2" t="s">
        <v>10</v>
      </c>
      <c r="E5">
        <v>37</v>
      </c>
      <c r="F5" s="2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s="2" t="s">
        <v>18</v>
      </c>
      <c r="D6" s="2" t="s">
        <v>10</v>
      </c>
      <c r="E6">
        <v>30</v>
      </c>
      <c r="F6" s="2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s="2" t="s">
        <v>19</v>
      </c>
      <c r="D7" s="2" t="s">
        <v>13</v>
      </c>
      <c r="E7">
        <v>45</v>
      </c>
      <c r="F7" s="2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s="2" t="s">
        <v>20</v>
      </c>
      <c r="D8" s="2" t="s">
        <v>10</v>
      </c>
      <c r="E8">
        <v>46</v>
      </c>
      <c r="F8" s="2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s="2" t="s">
        <v>21</v>
      </c>
      <c r="D9" s="2" t="s">
        <v>10</v>
      </c>
      <c r="E9">
        <v>30</v>
      </c>
      <c r="F9" s="2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s="2" t="s">
        <v>22</v>
      </c>
      <c r="D10" s="2" t="s">
        <v>10</v>
      </c>
      <c r="E10">
        <v>63</v>
      </c>
      <c r="F10" s="2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s="2" t="s">
        <v>23</v>
      </c>
      <c r="D11" s="2" t="s">
        <v>13</v>
      </c>
      <c r="E11">
        <v>52</v>
      </c>
      <c r="F11" s="2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s="2" t="s">
        <v>24</v>
      </c>
      <c r="D12" s="2" t="s">
        <v>10</v>
      </c>
      <c r="E12">
        <v>23</v>
      </c>
      <c r="F12" s="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s="2" t="s">
        <v>25</v>
      </c>
      <c r="D13" s="2" t="s">
        <v>10</v>
      </c>
      <c r="E13">
        <v>35</v>
      </c>
      <c r="F13" s="2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s="2" t="s">
        <v>26</v>
      </c>
      <c r="D14" s="2" t="s">
        <v>10</v>
      </c>
      <c r="E14">
        <v>22</v>
      </c>
      <c r="F14" s="2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s="2" t="s">
        <v>27</v>
      </c>
      <c r="D15" s="2" t="s">
        <v>10</v>
      </c>
      <c r="E15">
        <v>64</v>
      </c>
      <c r="F15" s="2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s="2" t="s">
        <v>28</v>
      </c>
      <c r="D16" s="2" t="s">
        <v>13</v>
      </c>
      <c r="E16">
        <v>42</v>
      </c>
      <c r="F16" s="2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s="2" t="s">
        <v>29</v>
      </c>
      <c r="D17" s="2" t="s">
        <v>10</v>
      </c>
      <c r="E17">
        <v>19</v>
      </c>
      <c r="F17" s="2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s="2" t="s">
        <v>30</v>
      </c>
      <c r="D18" s="2" t="s">
        <v>13</v>
      </c>
      <c r="E18">
        <v>27</v>
      </c>
      <c r="F18" s="2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s="2" t="s">
        <v>31</v>
      </c>
      <c r="D19" s="2" t="s">
        <v>13</v>
      </c>
      <c r="E19">
        <v>47</v>
      </c>
      <c r="F19" s="2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s="2" t="s">
        <v>32</v>
      </c>
      <c r="D20" s="2" t="s">
        <v>13</v>
      </c>
      <c r="E20">
        <v>62</v>
      </c>
      <c r="F20" s="2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s="2" t="s">
        <v>33</v>
      </c>
      <c r="D21" s="2" t="s">
        <v>10</v>
      </c>
      <c r="E21">
        <v>22</v>
      </c>
      <c r="F21" s="2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s="2" t="s">
        <v>34</v>
      </c>
      <c r="D22" s="2" t="s">
        <v>13</v>
      </c>
      <c r="E22">
        <v>50</v>
      </c>
      <c r="F22" s="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s="2" t="s">
        <v>35</v>
      </c>
      <c r="D23" s="2" t="s">
        <v>10</v>
      </c>
      <c r="E23">
        <v>18</v>
      </c>
      <c r="F23" s="2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s="2" t="s">
        <v>36</v>
      </c>
      <c r="D24" s="2" t="s">
        <v>13</v>
      </c>
      <c r="E24">
        <v>35</v>
      </c>
      <c r="F24" s="2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s="2" t="s">
        <v>37</v>
      </c>
      <c r="D25" s="2" t="s">
        <v>13</v>
      </c>
      <c r="E25">
        <v>49</v>
      </c>
      <c r="F25" s="2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s="2" t="s">
        <v>38</v>
      </c>
      <c r="D26" s="2" t="s">
        <v>13</v>
      </c>
      <c r="E26">
        <v>64</v>
      </c>
      <c r="F26" s="2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s="2" t="s">
        <v>39</v>
      </c>
      <c r="D27" s="2" t="s">
        <v>13</v>
      </c>
      <c r="E27">
        <v>28</v>
      </c>
      <c r="F27" s="2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s="2" t="s">
        <v>40</v>
      </c>
      <c r="D28" s="2" t="s">
        <v>13</v>
      </c>
      <c r="E28">
        <v>38</v>
      </c>
      <c r="F28" s="2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s="2" t="s">
        <v>41</v>
      </c>
      <c r="D29" s="2" t="s">
        <v>13</v>
      </c>
      <c r="E29">
        <v>43</v>
      </c>
      <c r="F29" s="2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s="2" t="s">
        <v>42</v>
      </c>
      <c r="D30" s="2" t="s">
        <v>13</v>
      </c>
      <c r="E30">
        <v>42</v>
      </c>
      <c r="F30" s="2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s="2" t="s">
        <v>43</v>
      </c>
      <c r="D31" s="2" t="s">
        <v>13</v>
      </c>
      <c r="E31">
        <v>39</v>
      </c>
      <c r="F31" s="2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s="2" t="s">
        <v>44</v>
      </c>
      <c r="D32" s="2" t="s">
        <v>10</v>
      </c>
      <c r="E32">
        <v>44</v>
      </c>
      <c r="F32" s="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s="2" t="s">
        <v>45</v>
      </c>
      <c r="D33" s="2" t="s">
        <v>10</v>
      </c>
      <c r="E33">
        <v>30</v>
      </c>
      <c r="F33" s="2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s="2" t="s">
        <v>46</v>
      </c>
      <c r="D34" s="2" t="s">
        <v>13</v>
      </c>
      <c r="E34">
        <v>50</v>
      </c>
      <c r="F34" s="2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s="2" t="s">
        <v>47</v>
      </c>
      <c r="D35" s="2" t="s">
        <v>13</v>
      </c>
      <c r="E35">
        <v>51</v>
      </c>
      <c r="F35" s="2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s="2" t="s">
        <v>48</v>
      </c>
      <c r="D36" s="2" t="s">
        <v>13</v>
      </c>
      <c r="E36">
        <v>58</v>
      </c>
      <c r="F36" s="2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s="2" t="s">
        <v>49</v>
      </c>
      <c r="D37" s="2" t="s">
        <v>10</v>
      </c>
      <c r="E37">
        <v>52</v>
      </c>
      <c r="F37" s="2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s="2" t="s">
        <v>50</v>
      </c>
      <c r="D38" s="2" t="s">
        <v>13</v>
      </c>
      <c r="E38">
        <v>18</v>
      </c>
      <c r="F38" s="2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s="2" t="s">
        <v>51</v>
      </c>
      <c r="D39" s="2" t="s">
        <v>10</v>
      </c>
      <c r="E39">
        <v>38</v>
      </c>
      <c r="F39" s="2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s="2" t="s">
        <v>52</v>
      </c>
      <c r="D40" s="2" t="s">
        <v>10</v>
      </c>
      <c r="E40">
        <v>23</v>
      </c>
      <c r="F40" s="2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s="2" t="s">
        <v>53</v>
      </c>
      <c r="D41" s="2" t="s">
        <v>10</v>
      </c>
      <c r="E41">
        <v>45</v>
      </c>
      <c r="F41" s="2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s="2" t="s">
        <v>54</v>
      </c>
      <c r="D42" s="2" t="s">
        <v>10</v>
      </c>
      <c r="E42">
        <v>34</v>
      </c>
      <c r="F42" s="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s="2" t="s">
        <v>55</v>
      </c>
      <c r="D43" s="2" t="s">
        <v>10</v>
      </c>
      <c r="E43">
        <v>22</v>
      </c>
      <c r="F43" s="2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s="2" t="s">
        <v>56</v>
      </c>
      <c r="D44" s="2" t="s">
        <v>13</v>
      </c>
      <c r="E44">
        <v>48</v>
      </c>
      <c r="F44" s="2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s="2" t="s">
        <v>57</v>
      </c>
      <c r="D45" s="2" t="s">
        <v>13</v>
      </c>
      <c r="E45">
        <v>22</v>
      </c>
      <c r="F45" s="2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s="2" t="s">
        <v>58</v>
      </c>
      <c r="D46" s="2" t="s">
        <v>13</v>
      </c>
      <c r="E46">
        <v>55</v>
      </c>
      <c r="F46" s="2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s="2" t="s">
        <v>59</v>
      </c>
      <c r="D47" s="2" t="s">
        <v>13</v>
      </c>
      <c r="E47">
        <v>20</v>
      </c>
      <c r="F47" s="2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s="2" t="s">
        <v>60</v>
      </c>
      <c r="D48" s="2" t="s">
        <v>13</v>
      </c>
      <c r="E48">
        <v>40</v>
      </c>
      <c r="F48" s="2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s="2" t="s">
        <v>61</v>
      </c>
      <c r="D49" s="2" t="s">
        <v>10</v>
      </c>
      <c r="E49">
        <v>54</v>
      </c>
      <c r="F49" s="2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s="2" t="s">
        <v>62</v>
      </c>
      <c r="D50" s="2" t="s">
        <v>13</v>
      </c>
      <c r="E50">
        <v>54</v>
      </c>
      <c r="F50" s="2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s="2" t="s">
        <v>63</v>
      </c>
      <c r="D51" s="2" t="s">
        <v>13</v>
      </c>
      <c r="E51">
        <v>27</v>
      </c>
      <c r="F51" s="2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s="2" t="s">
        <v>64</v>
      </c>
      <c r="D52" s="2" t="s">
        <v>10</v>
      </c>
      <c r="E52">
        <v>27</v>
      </c>
      <c r="F52" s="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s="2" t="s">
        <v>65</v>
      </c>
      <c r="D53" s="2" t="s">
        <v>13</v>
      </c>
      <c r="E53">
        <v>36</v>
      </c>
      <c r="F53" s="2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s="2" t="s">
        <v>66</v>
      </c>
      <c r="D54" s="2" t="s">
        <v>10</v>
      </c>
      <c r="E54">
        <v>34</v>
      </c>
      <c r="F54" s="2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s="2" t="s">
        <v>67</v>
      </c>
      <c r="D55" s="2" t="s">
        <v>13</v>
      </c>
      <c r="E55">
        <v>38</v>
      </c>
      <c r="F55" s="2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s="2" t="s">
        <v>68</v>
      </c>
      <c r="D56" s="2" t="s">
        <v>10</v>
      </c>
      <c r="E56">
        <v>31</v>
      </c>
      <c r="F56" s="2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s="2" t="s">
        <v>69</v>
      </c>
      <c r="D57" s="2" t="s">
        <v>13</v>
      </c>
      <c r="E57">
        <v>26</v>
      </c>
      <c r="F57" s="2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s="2" t="s">
        <v>70</v>
      </c>
      <c r="D58" s="2" t="s">
        <v>13</v>
      </c>
      <c r="E58">
        <v>63</v>
      </c>
      <c r="F58" s="2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s="2" t="s">
        <v>71</v>
      </c>
      <c r="D59" s="2" t="s">
        <v>10</v>
      </c>
      <c r="E59">
        <v>18</v>
      </c>
      <c r="F59" s="2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s="2" t="s">
        <v>72</v>
      </c>
      <c r="D60" s="2" t="s">
        <v>10</v>
      </c>
      <c r="E60">
        <v>62</v>
      </c>
      <c r="F60" s="2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s="2" t="s">
        <v>73</v>
      </c>
      <c r="D61" s="2" t="s">
        <v>10</v>
      </c>
      <c r="E61">
        <v>30</v>
      </c>
      <c r="F61" s="2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s="2" t="s">
        <v>74</v>
      </c>
      <c r="D62" s="2" t="s">
        <v>10</v>
      </c>
      <c r="E62">
        <v>21</v>
      </c>
      <c r="F62" s="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s="2" t="s">
        <v>75</v>
      </c>
      <c r="D63" s="2" t="s">
        <v>10</v>
      </c>
      <c r="E63">
        <v>18</v>
      </c>
      <c r="F63" s="2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s="2" t="s">
        <v>76</v>
      </c>
      <c r="D64" s="2" t="s">
        <v>10</v>
      </c>
      <c r="E64">
        <v>57</v>
      </c>
      <c r="F64" s="2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s="2" t="s">
        <v>77</v>
      </c>
      <c r="D65" s="2" t="s">
        <v>10</v>
      </c>
      <c r="E65">
        <v>49</v>
      </c>
      <c r="F65" s="2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s="2" t="s">
        <v>78</v>
      </c>
      <c r="D66" s="2" t="s">
        <v>10</v>
      </c>
      <c r="E66">
        <v>51</v>
      </c>
      <c r="F66" s="2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s="2" t="s">
        <v>79</v>
      </c>
      <c r="D67" s="2" t="s">
        <v>13</v>
      </c>
      <c r="E67">
        <v>45</v>
      </c>
      <c r="F67" s="2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s="2" t="s">
        <v>80</v>
      </c>
      <c r="D68" s="2" t="s">
        <v>13</v>
      </c>
      <c r="E68">
        <v>48</v>
      </c>
      <c r="F68" s="2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s="2" t="s">
        <v>81</v>
      </c>
      <c r="D69" s="2" t="s">
        <v>10</v>
      </c>
      <c r="E69">
        <v>25</v>
      </c>
      <c r="F69" s="2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s="2" t="s">
        <v>82</v>
      </c>
      <c r="D70" s="2" t="s">
        <v>13</v>
      </c>
      <c r="E70">
        <v>56</v>
      </c>
      <c r="F70" s="2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s="2" t="s">
        <v>83</v>
      </c>
      <c r="D71" s="2" t="s">
        <v>13</v>
      </c>
      <c r="E71">
        <v>43</v>
      </c>
      <c r="F71" s="2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s="2" t="s">
        <v>84</v>
      </c>
      <c r="D72" s="2" t="s">
        <v>13</v>
      </c>
      <c r="E72">
        <v>51</v>
      </c>
      <c r="F72" s="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s="2" t="s">
        <v>85</v>
      </c>
      <c r="D73" s="2" t="s">
        <v>13</v>
      </c>
      <c r="E73">
        <v>20</v>
      </c>
      <c r="F73" s="2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s="2" t="s">
        <v>86</v>
      </c>
      <c r="D74" s="2" t="s">
        <v>10</v>
      </c>
      <c r="E74">
        <v>29</v>
      </c>
      <c r="F74" s="2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s="2" t="s">
        <v>87</v>
      </c>
      <c r="D75" s="2" t="s">
        <v>13</v>
      </c>
      <c r="E75">
        <v>18</v>
      </c>
      <c r="F75" s="2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s="2" t="s">
        <v>88</v>
      </c>
      <c r="D76" s="2" t="s">
        <v>10</v>
      </c>
      <c r="E76">
        <v>61</v>
      </c>
      <c r="F76" s="2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s="2" t="s">
        <v>89</v>
      </c>
      <c r="D77" s="2" t="s">
        <v>13</v>
      </c>
      <c r="E77">
        <v>22</v>
      </c>
      <c r="F77" s="2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s="2" t="s">
        <v>90</v>
      </c>
      <c r="D78" s="2" t="s">
        <v>13</v>
      </c>
      <c r="E78">
        <v>47</v>
      </c>
      <c r="F78" s="2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s="2" t="s">
        <v>91</v>
      </c>
      <c r="D79" s="2" t="s">
        <v>13</v>
      </c>
      <c r="E79">
        <v>47</v>
      </c>
      <c r="F79" s="2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s="2" t="s">
        <v>92</v>
      </c>
      <c r="D80" s="2" t="s">
        <v>10</v>
      </c>
      <c r="E80">
        <v>34</v>
      </c>
      <c r="F80" s="2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s="2" t="s">
        <v>93</v>
      </c>
      <c r="D81" s="2" t="s">
        <v>13</v>
      </c>
      <c r="E81">
        <v>64</v>
      </c>
      <c r="F81" s="2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s="2" t="s">
        <v>94</v>
      </c>
      <c r="D82" s="2" t="s">
        <v>10</v>
      </c>
      <c r="E82">
        <v>40</v>
      </c>
      <c r="F82" s="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s="2" t="s">
        <v>95</v>
      </c>
      <c r="D83" s="2" t="s">
        <v>13</v>
      </c>
      <c r="E83">
        <v>32</v>
      </c>
      <c r="F83" s="2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s="2" t="s">
        <v>96</v>
      </c>
      <c r="D84" s="2" t="s">
        <v>10</v>
      </c>
      <c r="E84">
        <v>54</v>
      </c>
      <c r="F84" s="2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s="2" t="s">
        <v>97</v>
      </c>
      <c r="D85" s="2" t="s">
        <v>13</v>
      </c>
      <c r="E85">
        <v>38</v>
      </c>
      <c r="F85" s="2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s="2" t="s">
        <v>98</v>
      </c>
      <c r="D86" s="2" t="s">
        <v>10</v>
      </c>
      <c r="E86">
        <v>31</v>
      </c>
      <c r="F86" s="2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s="2" t="s">
        <v>99</v>
      </c>
      <c r="D87" s="2" t="s">
        <v>10</v>
      </c>
      <c r="E87">
        <v>19</v>
      </c>
      <c r="F87" s="2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s="2" t="s">
        <v>100</v>
      </c>
      <c r="D88" s="2" t="s">
        <v>13</v>
      </c>
      <c r="E88">
        <v>28</v>
      </c>
      <c r="F88" s="2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s="2" t="s">
        <v>101</v>
      </c>
      <c r="D89" s="2" t="s">
        <v>10</v>
      </c>
      <c r="E89">
        <v>56</v>
      </c>
      <c r="F89" s="2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s="2" t="s">
        <v>102</v>
      </c>
      <c r="D90" s="2" t="s">
        <v>13</v>
      </c>
      <c r="E90">
        <v>55</v>
      </c>
      <c r="F90" s="2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s="2" t="s">
        <v>103</v>
      </c>
      <c r="D91" s="2" t="s">
        <v>13</v>
      </c>
      <c r="E91">
        <v>51</v>
      </c>
      <c r="F91" s="2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s="2" t="s">
        <v>104</v>
      </c>
      <c r="D92" s="2" t="s">
        <v>13</v>
      </c>
      <c r="E92">
        <v>55</v>
      </c>
      <c r="F92" s="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s="2" t="s">
        <v>105</v>
      </c>
      <c r="D93" s="2" t="s">
        <v>13</v>
      </c>
      <c r="E93">
        <v>51</v>
      </c>
      <c r="F93" s="2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s="2" t="s">
        <v>106</v>
      </c>
      <c r="D94" s="2" t="s">
        <v>13</v>
      </c>
      <c r="E94">
        <v>35</v>
      </c>
      <c r="F94" s="2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s="2" t="s">
        <v>107</v>
      </c>
      <c r="D95" s="2" t="s">
        <v>13</v>
      </c>
      <c r="E95">
        <v>47</v>
      </c>
      <c r="F95" s="2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s="2" t="s">
        <v>108</v>
      </c>
      <c r="D96" s="2" t="s">
        <v>13</v>
      </c>
      <c r="E96">
        <v>32</v>
      </c>
      <c r="F96" s="2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s="2" t="s">
        <v>109</v>
      </c>
      <c r="D97" s="2" t="s">
        <v>13</v>
      </c>
      <c r="E97">
        <v>44</v>
      </c>
      <c r="F97" s="2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s="2" t="s">
        <v>110</v>
      </c>
      <c r="D98" s="2" t="s">
        <v>13</v>
      </c>
      <c r="E98">
        <v>51</v>
      </c>
      <c r="F98" s="2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s="2" t="s">
        <v>111</v>
      </c>
      <c r="D99" s="2" t="s">
        <v>13</v>
      </c>
      <c r="E99">
        <v>55</v>
      </c>
      <c r="F99" s="2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s="2" t="s">
        <v>112</v>
      </c>
      <c r="D100" s="2" t="s">
        <v>13</v>
      </c>
      <c r="E100">
        <v>50</v>
      </c>
      <c r="F100" s="2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s="2" t="s">
        <v>113</v>
      </c>
      <c r="D101" s="2" t="s">
        <v>10</v>
      </c>
      <c r="E101">
        <v>41</v>
      </c>
      <c r="F101" s="2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s="2" t="s">
        <v>114</v>
      </c>
      <c r="D102" s="2" t="s">
        <v>10</v>
      </c>
      <c r="E102">
        <v>32</v>
      </c>
      <c r="F102" s="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s="2" t="s">
        <v>115</v>
      </c>
      <c r="D103" s="2" t="s">
        <v>13</v>
      </c>
      <c r="E103">
        <v>47</v>
      </c>
      <c r="F103" s="2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s="2" t="s">
        <v>116</v>
      </c>
      <c r="D104" s="2" t="s">
        <v>13</v>
      </c>
      <c r="E104">
        <v>59</v>
      </c>
      <c r="F104" s="2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s="2" t="s">
        <v>117</v>
      </c>
      <c r="D105" s="2" t="s">
        <v>13</v>
      </c>
      <c r="E105">
        <v>34</v>
      </c>
      <c r="F105" s="2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s="2" t="s">
        <v>118</v>
      </c>
      <c r="D106" s="2" t="s">
        <v>13</v>
      </c>
      <c r="E106">
        <v>22</v>
      </c>
      <c r="F106" s="2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s="2" t="s">
        <v>119</v>
      </c>
      <c r="D107" s="2" t="s">
        <v>13</v>
      </c>
      <c r="E107">
        <v>46</v>
      </c>
      <c r="F107" s="2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s="2" t="s">
        <v>120</v>
      </c>
      <c r="D108" s="2" t="s">
        <v>13</v>
      </c>
      <c r="E108">
        <v>21</v>
      </c>
      <c r="F108" s="2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s="2" t="s">
        <v>121</v>
      </c>
      <c r="D109" s="2" t="s">
        <v>13</v>
      </c>
      <c r="E109">
        <v>27</v>
      </c>
      <c r="F109" s="2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s="2" t="s">
        <v>122</v>
      </c>
      <c r="D110" s="2" t="s">
        <v>13</v>
      </c>
      <c r="E110">
        <v>34</v>
      </c>
      <c r="F110" s="2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s="2" t="s">
        <v>123</v>
      </c>
      <c r="D111" s="2" t="s">
        <v>10</v>
      </c>
      <c r="E111">
        <v>27</v>
      </c>
      <c r="F111" s="2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s="2" t="s">
        <v>124</v>
      </c>
      <c r="D112" s="2" t="s">
        <v>13</v>
      </c>
      <c r="E112">
        <v>34</v>
      </c>
      <c r="F112" s="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s="2" t="s">
        <v>125</v>
      </c>
      <c r="D113" s="2" t="s">
        <v>10</v>
      </c>
      <c r="E113">
        <v>37</v>
      </c>
      <c r="F113" s="2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s="2" t="s">
        <v>126</v>
      </c>
      <c r="D114" s="2" t="s">
        <v>13</v>
      </c>
      <c r="E114">
        <v>41</v>
      </c>
      <c r="F114" s="2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s="2" t="s">
        <v>127</v>
      </c>
      <c r="D115" s="2" t="s">
        <v>13</v>
      </c>
      <c r="E115">
        <v>22</v>
      </c>
      <c r="F115" s="2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s="2" t="s">
        <v>128</v>
      </c>
      <c r="D116" s="2" t="s">
        <v>10</v>
      </c>
      <c r="E116">
        <v>51</v>
      </c>
      <c r="F116" s="2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s="2" t="s">
        <v>129</v>
      </c>
      <c r="D117" s="2" t="s">
        <v>13</v>
      </c>
      <c r="E117">
        <v>23</v>
      </c>
      <c r="F117" s="2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s="2" t="s">
        <v>130</v>
      </c>
      <c r="D118" s="2" t="s">
        <v>10</v>
      </c>
      <c r="E118">
        <v>19</v>
      </c>
      <c r="F118" s="2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s="2" t="s">
        <v>131</v>
      </c>
      <c r="D119" s="2" t="s">
        <v>13</v>
      </c>
      <c r="E119">
        <v>30</v>
      </c>
      <c r="F119" s="2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s="2" t="s">
        <v>132</v>
      </c>
      <c r="D120" s="2" t="s">
        <v>13</v>
      </c>
      <c r="E120">
        <v>60</v>
      </c>
      <c r="F120" s="2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s="2" t="s">
        <v>133</v>
      </c>
      <c r="D121" s="2" t="s">
        <v>10</v>
      </c>
      <c r="E121">
        <v>60</v>
      </c>
      <c r="F121" s="2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s="2" t="s">
        <v>134</v>
      </c>
      <c r="D122" s="2" t="s">
        <v>13</v>
      </c>
      <c r="E122">
        <v>28</v>
      </c>
      <c r="F122" s="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s="2" t="s">
        <v>135</v>
      </c>
      <c r="D123" s="2" t="s">
        <v>10</v>
      </c>
      <c r="E123">
        <v>64</v>
      </c>
      <c r="F123" s="2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s="2" t="s">
        <v>136</v>
      </c>
      <c r="D124" s="2" t="s">
        <v>13</v>
      </c>
      <c r="E124">
        <v>40</v>
      </c>
      <c r="F124" s="2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s="2" t="s">
        <v>137</v>
      </c>
      <c r="D125" s="2" t="s">
        <v>10</v>
      </c>
      <c r="E125">
        <v>33</v>
      </c>
      <c r="F125" s="2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s="2" t="s">
        <v>138</v>
      </c>
      <c r="D126" s="2" t="s">
        <v>10</v>
      </c>
      <c r="E126">
        <v>48</v>
      </c>
      <c r="F126" s="2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s="2" t="s">
        <v>139</v>
      </c>
      <c r="D127" s="2" t="s">
        <v>13</v>
      </c>
      <c r="E127">
        <v>28</v>
      </c>
      <c r="F127" s="2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s="2" t="s">
        <v>140</v>
      </c>
      <c r="D128" s="2" t="s">
        <v>13</v>
      </c>
      <c r="E128">
        <v>33</v>
      </c>
      <c r="F128" s="2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s="2" t="s">
        <v>141</v>
      </c>
      <c r="D129" s="2" t="s">
        <v>10</v>
      </c>
      <c r="E129">
        <v>25</v>
      </c>
      <c r="F129" s="2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s="2" t="s">
        <v>142</v>
      </c>
      <c r="D130" s="2" t="s">
        <v>13</v>
      </c>
      <c r="E130">
        <v>21</v>
      </c>
      <c r="F130" s="2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s="2" t="s">
        <v>143</v>
      </c>
      <c r="D131" s="2" t="s">
        <v>13</v>
      </c>
      <c r="E131">
        <v>57</v>
      </c>
      <c r="F131" s="2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s="2" t="s">
        <v>144</v>
      </c>
      <c r="D132" s="2" t="s">
        <v>13</v>
      </c>
      <c r="E132">
        <v>21</v>
      </c>
      <c r="F132" s="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s="2" t="s">
        <v>145</v>
      </c>
      <c r="D133" s="2" t="s">
        <v>10</v>
      </c>
      <c r="E133">
        <v>42</v>
      </c>
      <c r="F133" s="2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s="2" t="s">
        <v>146</v>
      </c>
      <c r="D134" s="2" t="s">
        <v>10</v>
      </c>
      <c r="E134">
        <v>20</v>
      </c>
      <c r="F134" s="2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s="2" t="s">
        <v>147</v>
      </c>
      <c r="D135" s="2" t="s">
        <v>10</v>
      </c>
      <c r="E135">
        <v>49</v>
      </c>
      <c r="F135" s="2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s="2" t="s">
        <v>148</v>
      </c>
      <c r="D136" s="2" t="s">
        <v>10</v>
      </c>
      <c r="E136">
        <v>20</v>
      </c>
      <c r="F136" s="2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s="2" t="s">
        <v>149</v>
      </c>
      <c r="D137" s="2" t="s">
        <v>10</v>
      </c>
      <c r="E137">
        <v>44</v>
      </c>
      <c r="F137" s="2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s="2" t="s">
        <v>150</v>
      </c>
      <c r="D138" s="2" t="s">
        <v>10</v>
      </c>
      <c r="E138">
        <v>46</v>
      </c>
      <c r="F138" s="2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s="2" t="s">
        <v>151</v>
      </c>
      <c r="D139" s="2" t="s">
        <v>10</v>
      </c>
      <c r="E139">
        <v>49</v>
      </c>
      <c r="F139" s="2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s="2" t="s">
        <v>152</v>
      </c>
      <c r="D140" s="2" t="s">
        <v>10</v>
      </c>
      <c r="E140">
        <v>36</v>
      </c>
      <c r="F140" s="2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s="2" t="s">
        <v>153</v>
      </c>
      <c r="D141" s="2" t="s">
        <v>10</v>
      </c>
      <c r="E141">
        <v>38</v>
      </c>
      <c r="F141" s="2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s="2" t="s">
        <v>154</v>
      </c>
      <c r="D142" s="2" t="s">
        <v>13</v>
      </c>
      <c r="E142">
        <v>22</v>
      </c>
      <c r="F142" s="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s="2" t="s">
        <v>155</v>
      </c>
      <c r="D143" s="2" t="s">
        <v>10</v>
      </c>
      <c r="E143">
        <v>35</v>
      </c>
      <c r="F143" s="2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s="2" t="s">
        <v>156</v>
      </c>
      <c r="D144" s="2" t="s">
        <v>13</v>
      </c>
      <c r="E144">
        <v>45</v>
      </c>
      <c r="F144" s="2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s="2" t="s">
        <v>157</v>
      </c>
      <c r="D145" s="2" t="s">
        <v>13</v>
      </c>
      <c r="E145">
        <v>59</v>
      </c>
      <c r="F145" s="2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s="2" t="s">
        <v>158</v>
      </c>
      <c r="D146" s="2" t="s">
        <v>13</v>
      </c>
      <c r="E146">
        <v>39</v>
      </c>
      <c r="F146" s="2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s="2" t="s">
        <v>159</v>
      </c>
      <c r="D147" s="2" t="s">
        <v>10</v>
      </c>
      <c r="E147">
        <v>38</v>
      </c>
      <c r="F147" s="2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s="2" t="s">
        <v>160</v>
      </c>
      <c r="D148" s="2" t="s">
        <v>10</v>
      </c>
      <c r="E148">
        <v>23</v>
      </c>
      <c r="F148" s="2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s="2" t="s">
        <v>161</v>
      </c>
      <c r="D149" s="2" t="s">
        <v>10</v>
      </c>
      <c r="E149">
        <v>18</v>
      </c>
      <c r="F149" s="2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s="2" t="s">
        <v>162</v>
      </c>
      <c r="D150" s="2" t="s">
        <v>10</v>
      </c>
      <c r="E150">
        <v>22</v>
      </c>
      <c r="F150" s="2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s="2" t="s">
        <v>163</v>
      </c>
      <c r="D151" s="2" t="s">
        <v>13</v>
      </c>
      <c r="E151">
        <v>58</v>
      </c>
      <c r="F151" s="2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s="2" t="s">
        <v>164</v>
      </c>
      <c r="D152" s="2" t="s">
        <v>10</v>
      </c>
      <c r="E152">
        <v>29</v>
      </c>
      <c r="F152" s="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s="2" t="s">
        <v>165</v>
      </c>
      <c r="D153" s="2" t="s">
        <v>10</v>
      </c>
      <c r="E153">
        <v>43</v>
      </c>
      <c r="F153" s="2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s="2" t="s">
        <v>166</v>
      </c>
      <c r="D154" s="2" t="s">
        <v>10</v>
      </c>
      <c r="E154">
        <v>63</v>
      </c>
      <c r="F154" s="2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s="2" t="s">
        <v>167</v>
      </c>
      <c r="D155" s="2" t="s">
        <v>10</v>
      </c>
      <c r="E155">
        <v>51</v>
      </c>
      <c r="F155" s="2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s="2" t="s">
        <v>168</v>
      </c>
      <c r="D156" s="2" t="s">
        <v>10</v>
      </c>
      <c r="E156">
        <v>31</v>
      </c>
      <c r="F156" s="2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s="2" t="s">
        <v>169</v>
      </c>
      <c r="D157" s="2" t="s">
        <v>13</v>
      </c>
      <c r="E157">
        <v>43</v>
      </c>
      <c r="F157" s="2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s="2" t="s">
        <v>170</v>
      </c>
      <c r="D158" s="2" t="s">
        <v>10</v>
      </c>
      <c r="E158">
        <v>62</v>
      </c>
      <c r="F158" s="2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s="2" t="s">
        <v>171</v>
      </c>
      <c r="D159" s="2" t="s">
        <v>13</v>
      </c>
      <c r="E159">
        <v>44</v>
      </c>
      <c r="F159" s="2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s="2" t="s">
        <v>172</v>
      </c>
      <c r="D160" s="2" t="s">
        <v>10</v>
      </c>
      <c r="E160">
        <v>26</v>
      </c>
      <c r="F160" s="2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s="2" t="s">
        <v>173</v>
      </c>
      <c r="D161" s="2" t="s">
        <v>13</v>
      </c>
      <c r="E161">
        <v>43</v>
      </c>
      <c r="F161" s="2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s="2" t="s">
        <v>174</v>
      </c>
      <c r="D162" s="2" t="s">
        <v>10</v>
      </c>
      <c r="E162">
        <v>64</v>
      </c>
      <c r="F162" s="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s="2" t="s">
        <v>175</v>
      </c>
      <c r="D163" s="2" t="s">
        <v>10</v>
      </c>
      <c r="E163">
        <v>39</v>
      </c>
      <c r="F163" s="2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s="2" t="s">
        <v>176</v>
      </c>
      <c r="D164" s="2" t="s">
        <v>13</v>
      </c>
      <c r="E164">
        <v>64</v>
      </c>
      <c r="F164" s="2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s="2" t="s">
        <v>177</v>
      </c>
      <c r="D165" s="2" t="s">
        <v>13</v>
      </c>
      <c r="E165">
        <v>47</v>
      </c>
      <c r="F165" s="2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s="2" t="s">
        <v>178</v>
      </c>
      <c r="D166" s="2" t="s">
        <v>13</v>
      </c>
      <c r="E166">
        <v>60</v>
      </c>
      <c r="F166" s="2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s="2" t="s">
        <v>179</v>
      </c>
      <c r="D167" s="2" t="s">
        <v>10</v>
      </c>
      <c r="E167">
        <v>34</v>
      </c>
      <c r="F167" s="2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s="2" t="s">
        <v>180</v>
      </c>
      <c r="D168" s="2" t="s">
        <v>13</v>
      </c>
      <c r="E168">
        <v>43</v>
      </c>
      <c r="F168" s="2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s="2" t="s">
        <v>181</v>
      </c>
      <c r="D169" s="2" t="s">
        <v>10</v>
      </c>
      <c r="E169">
        <v>53</v>
      </c>
      <c r="F169" s="2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s="2" t="s">
        <v>182</v>
      </c>
      <c r="D170" s="2" t="s">
        <v>10</v>
      </c>
      <c r="E170">
        <v>18</v>
      </c>
      <c r="F170" s="2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s="2" t="s">
        <v>183</v>
      </c>
      <c r="D171" s="2" t="s">
        <v>13</v>
      </c>
      <c r="E171">
        <v>25</v>
      </c>
      <c r="F171" s="2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s="2" t="s">
        <v>184</v>
      </c>
      <c r="D172" s="2" t="s">
        <v>13</v>
      </c>
      <c r="E172">
        <v>52</v>
      </c>
      <c r="F172" s="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s="2" t="s">
        <v>185</v>
      </c>
      <c r="D173" s="2" t="s">
        <v>10</v>
      </c>
      <c r="E173">
        <v>32</v>
      </c>
      <c r="F173" s="2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s="2" t="s">
        <v>186</v>
      </c>
      <c r="D174" s="2" t="s">
        <v>10</v>
      </c>
      <c r="E174">
        <v>64</v>
      </c>
      <c r="F174" s="2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s="2" t="s">
        <v>187</v>
      </c>
      <c r="D175" s="2" t="s">
        <v>13</v>
      </c>
      <c r="E175">
        <v>39</v>
      </c>
      <c r="F175" s="2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s="2" t="s">
        <v>188</v>
      </c>
      <c r="D176" s="2" t="s">
        <v>13</v>
      </c>
      <c r="E176">
        <v>31</v>
      </c>
      <c r="F176" s="2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s="2" t="s">
        <v>189</v>
      </c>
      <c r="D177" s="2" t="s">
        <v>13</v>
      </c>
      <c r="E177">
        <v>43</v>
      </c>
      <c r="F177" s="2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s="2" t="s">
        <v>190</v>
      </c>
      <c r="D178" s="2" t="s">
        <v>10</v>
      </c>
      <c r="E178">
        <v>45</v>
      </c>
      <c r="F178" s="2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s="2" t="s">
        <v>191</v>
      </c>
      <c r="D179" s="2" t="s">
        <v>10</v>
      </c>
      <c r="E179">
        <v>40</v>
      </c>
      <c r="F179" s="2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s="2" t="s">
        <v>192</v>
      </c>
      <c r="D180" s="2" t="s">
        <v>10</v>
      </c>
      <c r="E180">
        <v>31</v>
      </c>
      <c r="F180" s="2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s="2" t="s">
        <v>193</v>
      </c>
      <c r="D181" s="2" t="s">
        <v>10</v>
      </c>
      <c r="E181">
        <v>41</v>
      </c>
      <c r="F181" s="2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s="2" t="s">
        <v>194</v>
      </c>
      <c r="D182" s="2" t="s">
        <v>10</v>
      </c>
      <c r="E182">
        <v>19</v>
      </c>
      <c r="F182" s="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s="2" t="s">
        <v>195</v>
      </c>
      <c r="D183" s="2" t="s">
        <v>10</v>
      </c>
      <c r="E183">
        <v>62</v>
      </c>
      <c r="F183" s="2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s="2" t="s">
        <v>196</v>
      </c>
      <c r="D184" s="2" t="s">
        <v>13</v>
      </c>
      <c r="E184">
        <v>43</v>
      </c>
      <c r="F184" s="2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s="2" t="s">
        <v>197</v>
      </c>
      <c r="D185" s="2" t="s">
        <v>10</v>
      </c>
      <c r="E185">
        <v>31</v>
      </c>
      <c r="F185" s="2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s="2" t="s">
        <v>198</v>
      </c>
      <c r="D186" s="2" t="s">
        <v>10</v>
      </c>
      <c r="E186">
        <v>24</v>
      </c>
      <c r="F186" s="2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s="2" t="s">
        <v>199</v>
      </c>
      <c r="D187" s="2" t="s">
        <v>10</v>
      </c>
      <c r="E187">
        <v>20</v>
      </c>
      <c r="F187" s="2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s="2" t="s">
        <v>200</v>
      </c>
      <c r="D188" s="2" t="s">
        <v>13</v>
      </c>
      <c r="E188">
        <v>64</v>
      </c>
      <c r="F188" s="2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s="2" t="s">
        <v>201</v>
      </c>
      <c r="D189" s="2" t="s">
        <v>10</v>
      </c>
      <c r="E189">
        <v>40</v>
      </c>
      <c r="F189" s="2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s="2" t="s">
        <v>202</v>
      </c>
      <c r="D190" s="2" t="s">
        <v>10</v>
      </c>
      <c r="E190">
        <v>63</v>
      </c>
      <c r="F190" s="2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s="2" t="s">
        <v>203</v>
      </c>
      <c r="D191" s="2" t="s">
        <v>13</v>
      </c>
      <c r="E191">
        <v>60</v>
      </c>
      <c r="F191" s="2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s="2" t="s">
        <v>204</v>
      </c>
      <c r="D192" s="2" t="s">
        <v>10</v>
      </c>
      <c r="E192">
        <v>64</v>
      </c>
      <c r="F192" s="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s="2" t="s">
        <v>205</v>
      </c>
      <c r="D193" s="2" t="s">
        <v>10</v>
      </c>
      <c r="E193">
        <v>62</v>
      </c>
      <c r="F193" s="2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s="2" t="s">
        <v>206</v>
      </c>
      <c r="D194" s="2" t="s">
        <v>10</v>
      </c>
      <c r="E194">
        <v>35</v>
      </c>
      <c r="F194" s="2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s="2" t="s">
        <v>207</v>
      </c>
      <c r="D195" s="2" t="s">
        <v>10</v>
      </c>
      <c r="E195">
        <v>55</v>
      </c>
      <c r="F195" s="2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s="2" t="s">
        <v>208</v>
      </c>
      <c r="D196" s="2" t="s">
        <v>10</v>
      </c>
      <c r="E196">
        <v>52</v>
      </c>
      <c r="F196" s="2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s="2" t="s">
        <v>209</v>
      </c>
      <c r="D197" s="2" t="s">
        <v>13</v>
      </c>
      <c r="E197">
        <v>32</v>
      </c>
      <c r="F197" s="2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s="2" t="s">
        <v>210</v>
      </c>
      <c r="D198" s="2" t="s">
        <v>13</v>
      </c>
      <c r="E198">
        <v>42</v>
      </c>
      <c r="F198" s="2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s="2" t="s">
        <v>211</v>
      </c>
      <c r="D199" s="2" t="s">
        <v>13</v>
      </c>
      <c r="E199">
        <v>54</v>
      </c>
      <c r="F199" s="2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s="2" t="s">
        <v>212</v>
      </c>
      <c r="D200" s="2" t="s">
        <v>10</v>
      </c>
      <c r="E200">
        <v>45</v>
      </c>
      <c r="F200" s="2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s="2" t="s">
        <v>213</v>
      </c>
      <c r="D201" s="2" t="s">
        <v>10</v>
      </c>
      <c r="E201">
        <v>27</v>
      </c>
      <c r="F201" s="2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s="2" t="s">
        <v>214</v>
      </c>
      <c r="D202" s="2" t="s">
        <v>10</v>
      </c>
      <c r="E202">
        <v>56</v>
      </c>
      <c r="F202" s="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s="2" t="s">
        <v>215</v>
      </c>
      <c r="D203" s="2" t="s">
        <v>13</v>
      </c>
      <c r="E203">
        <v>34</v>
      </c>
      <c r="F203" s="2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s="2" t="s">
        <v>216</v>
      </c>
      <c r="D204" s="2" t="s">
        <v>10</v>
      </c>
      <c r="E204">
        <v>56</v>
      </c>
      <c r="F204" s="2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s="2" t="s">
        <v>217</v>
      </c>
      <c r="D205" s="2" t="s">
        <v>10</v>
      </c>
      <c r="E205">
        <v>39</v>
      </c>
      <c r="F205" s="2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s="2" t="s">
        <v>218</v>
      </c>
      <c r="D206" s="2" t="s">
        <v>13</v>
      </c>
      <c r="E206">
        <v>43</v>
      </c>
      <c r="F206" s="2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s="2" t="s">
        <v>219</v>
      </c>
      <c r="D207" s="2" t="s">
        <v>10</v>
      </c>
      <c r="E207">
        <v>61</v>
      </c>
      <c r="F207" s="2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s="2" t="s">
        <v>220</v>
      </c>
      <c r="D208" s="2" t="s">
        <v>13</v>
      </c>
      <c r="E208">
        <v>42</v>
      </c>
      <c r="F208" s="2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s="2" t="s">
        <v>221</v>
      </c>
      <c r="D209" s="2" t="s">
        <v>13</v>
      </c>
      <c r="E209">
        <v>34</v>
      </c>
      <c r="F209" s="2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s="2" t="s">
        <v>222</v>
      </c>
      <c r="D210" s="2" t="s">
        <v>13</v>
      </c>
      <c r="E210">
        <v>30</v>
      </c>
      <c r="F210" s="2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s="2" t="s">
        <v>223</v>
      </c>
      <c r="D211" s="2" t="s">
        <v>10</v>
      </c>
      <c r="E211">
        <v>37</v>
      </c>
      <c r="F211" s="2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s="2" t="s">
        <v>224</v>
      </c>
      <c r="D212" s="2" t="s">
        <v>10</v>
      </c>
      <c r="E212">
        <v>42</v>
      </c>
      <c r="F212" s="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s="2" t="s">
        <v>225</v>
      </c>
      <c r="D213" s="2" t="s">
        <v>10</v>
      </c>
      <c r="E213">
        <v>21</v>
      </c>
      <c r="F213" s="2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s="2" t="s">
        <v>226</v>
      </c>
      <c r="D214" s="2" t="s">
        <v>10</v>
      </c>
      <c r="E214">
        <v>27</v>
      </c>
      <c r="F214" s="2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s="2" t="s">
        <v>227</v>
      </c>
      <c r="D215" s="2" t="s">
        <v>10</v>
      </c>
      <c r="E215">
        <v>20</v>
      </c>
      <c r="F215" s="2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s="2" t="s">
        <v>228</v>
      </c>
      <c r="D216" s="2" t="s">
        <v>10</v>
      </c>
      <c r="E216">
        <v>58</v>
      </c>
      <c r="F216" s="2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s="2" t="s">
        <v>229</v>
      </c>
      <c r="D217" s="2" t="s">
        <v>10</v>
      </c>
      <c r="E217">
        <v>62</v>
      </c>
      <c r="F217" s="2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s="2" t="s">
        <v>230</v>
      </c>
      <c r="D218" s="2" t="s">
        <v>13</v>
      </c>
      <c r="E218">
        <v>35</v>
      </c>
      <c r="F218" s="2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s="2" t="s">
        <v>231</v>
      </c>
      <c r="D219" s="2" t="s">
        <v>10</v>
      </c>
      <c r="E219">
        <v>64</v>
      </c>
      <c r="F219" s="2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s="2" t="s">
        <v>232</v>
      </c>
      <c r="D220" s="2" t="s">
        <v>13</v>
      </c>
      <c r="E220">
        <v>53</v>
      </c>
      <c r="F220" s="2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s="2" t="s">
        <v>233</v>
      </c>
      <c r="D221" s="2" t="s">
        <v>10</v>
      </c>
      <c r="E221">
        <v>64</v>
      </c>
      <c r="F221" s="2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s="2" t="s">
        <v>234</v>
      </c>
      <c r="D222" s="2" t="s">
        <v>10</v>
      </c>
      <c r="E222">
        <v>39</v>
      </c>
      <c r="F222" s="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s="2" t="s">
        <v>235</v>
      </c>
      <c r="D223" s="2" t="s">
        <v>10</v>
      </c>
      <c r="E223">
        <v>51</v>
      </c>
      <c r="F223" s="2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s="2" t="s">
        <v>236</v>
      </c>
      <c r="D224" s="2" t="s">
        <v>13</v>
      </c>
      <c r="E224">
        <v>64</v>
      </c>
      <c r="F224" s="2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s="2" t="s">
        <v>237</v>
      </c>
      <c r="D225" s="2" t="s">
        <v>13</v>
      </c>
      <c r="E225">
        <v>25</v>
      </c>
      <c r="F225" s="2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s="2" t="s">
        <v>238</v>
      </c>
      <c r="D226" s="2" t="s">
        <v>13</v>
      </c>
      <c r="E226">
        <v>57</v>
      </c>
      <c r="F226" s="2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s="2" t="s">
        <v>239</v>
      </c>
      <c r="D227" s="2" t="s">
        <v>13</v>
      </c>
      <c r="E227">
        <v>61</v>
      </c>
      <c r="F227" s="2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s="2" t="s">
        <v>240</v>
      </c>
      <c r="D228" s="2" t="s">
        <v>10</v>
      </c>
      <c r="E228">
        <v>36</v>
      </c>
      <c r="F228" s="2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s="2" t="s">
        <v>241</v>
      </c>
      <c r="D229" s="2" t="s">
        <v>13</v>
      </c>
      <c r="E229">
        <v>59</v>
      </c>
      <c r="F229" s="2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s="2" t="s">
        <v>242</v>
      </c>
      <c r="D230" s="2" t="s">
        <v>10</v>
      </c>
      <c r="E230">
        <v>58</v>
      </c>
      <c r="F230" s="2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s="2" t="s">
        <v>243</v>
      </c>
      <c r="D231" s="2" t="s">
        <v>10</v>
      </c>
      <c r="E231">
        <v>54</v>
      </c>
      <c r="F231" s="2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s="2" t="s">
        <v>244</v>
      </c>
      <c r="D232" s="2" t="s">
        <v>13</v>
      </c>
      <c r="E232">
        <v>23</v>
      </c>
      <c r="F232" s="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s="2" t="s">
        <v>245</v>
      </c>
      <c r="D233" s="2" t="s">
        <v>13</v>
      </c>
      <c r="E233">
        <v>43</v>
      </c>
      <c r="F233" s="2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s="2" t="s">
        <v>246</v>
      </c>
      <c r="D234" s="2" t="s">
        <v>13</v>
      </c>
      <c r="E234">
        <v>51</v>
      </c>
      <c r="F234" s="2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s="2" t="s">
        <v>247</v>
      </c>
      <c r="D235" s="2" t="s">
        <v>13</v>
      </c>
      <c r="E235">
        <v>62</v>
      </c>
      <c r="F235" s="2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s="2" t="s">
        <v>248</v>
      </c>
      <c r="D236" s="2" t="s">
        <v>13</v>
      </c>
      <c r="E236">
        <v>23</v>
      </c>
      <c r="F236" s="2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s="2" t="s">
        <v>249</v>
      </c>
      <c r="D237" s="2" t="s">
        <v>13</v>
      </c>
      <c r="E237">
        <v>54</v>
      </c>
      <c r="F237" s="2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s="2" t="s">
        <v>250</v>
      </c>
      <c r="D238" s="2" t="s">
        <v>13</v>
      </c>
      <c r="E238">
        <v>50</v>
      </c>
      <c r="F238" s="2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s="2" t="s">
        <v>251</v>
      </c>
      <c r="D239" s="2" t="s">
        <v>13</v>
      </c>
      <c r="E239">
        <v>39</v>
      </c>
      <c r="F239" s="2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s="2" t="s">
        <v>252</v>
      </c>
      <c r="D240" s="2" t="s">
        <v>10</v>
      </c>
      <c r="E240">
        <v>38</v>
      </c>
      <c r="F240" s="2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s="2" t="s">
        <v>253</v>
      </c>
      <c r="D241" s="2" t="s">
        <v>13</v>
      </c>
      <c r="E241">
        <v>23</v>
      </c>
      <c r="F241" s="2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s="2" t="s">
        <v>254</v>
      </c>
      <c r="D242" s="2" t="s">
        <v>13</v>
      </c>
      <c r="E242">
        <v>23</v>
      </c>
      <c r="F242" s="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s="2" t="s">
        <v>255</v>
      </c>
      <c r="D243" s="2" t="s">
        <v>10</v>
      </c>
      <c r="E243">
        <v>21</v>
      </c>
      <c r="F243" s="2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s="2" t="s">
        <v>256</v>
      </c>
      <c r="D244" s="2" t="s">
        <v>13</v>
      </c>
      <c r="E244">
        <v>47</v>
      </c>
      <c r="F244" s="2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s="2" t="s">
        <v>257</v>
      </c>
      <c r="D245" s="2" t="s">
        <v>10</v>
      </c>
      <c r="E245">
        <v>28</v>
      </c>
      <c r="F245" s="2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s="2" t="s">
        <v>258</v>
      </c>
      <c r="D246" s="2" t="s">
        <v>10</v>
      </c>
      <c r="E246">
        <v>47</v>
      </c>
      <c r="F246" s="2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s="2" t="s">
        <v>259</v>
      </c>
      <c r="D247" s="2" t="s">
        <v>13</v>
      </c>
      <c r="E247">
        <v>48</v>
      </c>
      <c r="F247" s="2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s="2" t="s">
        <v>260</v>
      </c>
      <c r="D248" s="2" t="s">
        <v>10</v>
      </c>
      <c r="E248">
        <v>41</v>
      </c>
      <c r="F248" s="2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s="2" t="s">
        <v>261</v>
      </c>
      <c r="D249" s="2" t="s">
        <v>10</v>
      </c>
      <c r="E249">
        <v>26</v>
      </c>
      <c r="F249" s="2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s="2" t="s">
        <v>262</v>
      </c>
      <c r="D250" s="2" t="s">
        <v>10</v>
      </c>
      <c r="E250">
        <v>20</v>
      </c>
      <c r="F250" s="2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s="2" t="s">
        <v>263</v>
      </c>
      <c r="D251" s="2" t="s">
        <v>10</v>
      </c>
      <c r="E251">
        <v>48</v>
      </c>
      <c r="F251" s="2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s="2" t="s">
        <v>264</v>
      </c>
      <c r="D252" s="2" t="s">
        <v>13</v>
      </c>
      <c r="E252">
        <v>57</v>
      </c>
      <c r="F252" s="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s="2" t="s">
        <v>265</v>
      </c>
      <c r="D253" s="2" t="s">
        <v>10</v>
      </c>
      <c r="E253">
        <v>54</v>
      </c>
      <c r="F253" s="2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s="2" t="s">
        <v>266</v>
      </c>
      <c r="D254" s="2" t="s">
        <v>13</v>
      </c>
      <c r="E254">
        <v>53</v>
      </c>
      <c r="F254" s="2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s="2" t="s">
        <v>267</v>
      </c>
      <c r="D255" s="2" t="s">
        <v>10</v>
      </c>
      <c r="E255">
        <v>41</v>
      </c>
      <c r="F255" s="2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s="2" t="s">
        <v>268</v>
      </c>
      <c r="D256" s="2" t="s">
        <v>10</v>
      </c>
      <c r="E256">
        <v>48</v>
      </c>
      <c r="F256" s="2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s="2" t="s">
        <v>269</v>
      </c>
      <c r="D257" s="2" t="s">
        <v>10</v>
      </c>
      <c r="E257">
        <v>23</v>
      </c>
      <c r="F257" s="2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s="2" t="s">
        <v>270</v>
      </c>
      <c r="D258" s="2" t="s">
        <v>10</v>
      </c>
      <c r="E258">
        <v>19</v>
      </c>
      <c r="F258" s="2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s="2" t="s">
        <v>271</v>
      </c>
      <c r="D259" s="2" t="s">
        <v>13</v>
      </c>
      <c r="E259">
        <v>37</v>
      </c>
      <c r="F259" s="2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s="2" t="s">
        <v>272</v>
      </c>
      <c r="D260" s="2" t="s">
        <v>13</v>
      </c>
      <c r="E260">
        <v>45</v>
      </c>
      <c r="F260" s="2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s="2" t="s">
        <v>273</v>
      </c>
      <c r="D261" s="2" t="s">
        <v>10</v>
      </c>
      <c r="E261">
        <v>28</v>
      </c>
      <c r="F261" s="2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s="2" t="s">
        <v>274</v>
      </c>
      <c r="D262" s="2" t="s">
        <v>10</v>
      </c>
      <c r="E262">
        <v>21</v>
      </c>
      <c r="F262" s="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s="2" t="s">
        <v>275</v>
      </c>
      <c r="D263" s="2" t="s">
        <v>13</v>
      </c>
      <c r="E263">
        <v>32</v>
      </c>
      <c r="F263" s="2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s="2" t="s">
        <v>276</v>
      </c>
      <c r="D264" s="2" t="s">
        <v>10</v>
      </c>
      <c r="E264">
        <v>23</v>
      </c>
      <c r="F264" s="2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s="2" t="s">
        <v>277</v>
      </c>
      <c r="D265" s="2" t="s">
        <v>10</v>
      </c>
      <c r="E265">
        <v>47</v>
      </c>
      <c r="F265" s="2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s="2" t="s">
        <v>278</v>
      </c>
      <c r="D266" s="2" t="s">
        <v>10</v>
      </c>
      <c r="E266">
        <v>55</v>
      </c>
      <c r="F266" s="2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s="2" t="s">
        <v>279</v>
      </c>
      <c r="D267" s="2" t="s">
        <v>13</v>
      </c>
      <c r="E267">
        <v>19</v>
      </c>
      <c r="F267" s="2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s="2" t="s">
        <v>280</v>
      </c>
      <c r="D268" s="2" t="s">
        <v>13</v>
      </c>
      <c r="E268">
        <v>32</v>
      </c>
      <c r="F268" s="2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s="2" t="s">
        <v>281</v>
      </c>
      <c r="D269" s="2" t="s">
        <v>13</v>
      </c>
      <c r="E269">
        <v>28</v>
      </c>
      <c r="F269" s="2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s="2" t="s">
        <v>282</v>
      </c>
      <c r="D270" s="2" t="s">
        <v>10</v>
      </c>
      <c r="E270">
        <v>25</v>
      </c>
      <c r="F270" s="2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s="2" t="s">
        <v>283</v>
      </c>
      <c r="D271" s="2" t="s">
        <v>10</v>
      </c>
      <c r="E271">
        <v>43</v>
      </c>
      <c r="F271" s="2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s="2" t="s">
        <v>284</v>
      </c>
      <c r="D272" s="2" t="s">
        <v>13</v>
      </c>
      <c r="E272">
        <v>62</v>
      </c>
      <c r="F272" s="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s="2" t="s">
        <v>285</v>
      </c>
      <c r="D273" s="2" t="s">
        <v>13</v>
      </c>
      <c r="E273">
        <v>61</v>
      </c>
      <c r="F273" s="2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s="2" t="s">
        <v>286</v>
      </c>
      <c r="D274" s="2" t="s">
        <v>13</v>
      </c>
      <c r="E274">
        <v>22</v>
      </c>
      <c r="F274" s="2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s="2" t="s">
        <v>287</v>
      </c>
      <c r="D275" s="2" t="s">
        <v>13</v>
      </c>
      <c r="E275">
        <v>23</v>
      </c>
      <c r="F275" s="2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s="2" t="s">
        <v>288</v>
      </c>
      <c r="D276" s="2" t="s">
        <v>10</v>
      </c>
      <c r="E276">
        <v>43</v>
      </c>
      <c r="F276" s="2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s="2" t="s">
        <v>289</v>
      </c>
      <c r="D277" s="2" t="s">
        <v>13</v>
      </c>
      <c r="E277">
        <v>21</v>
      </c>
      <c r="F277" s="2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s="2" t="s">
        <v>290</v>
      </c>
      <c r="D278" s="2" t="s">
        <v>10</v>
      </c>
      <c r="E278">
        <v>36</v>
      </c>
      <c r="F278" s="2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s="2" t="s">
        <v>291</v>
      </c>
      <c r="D279" s="2" t="s">
        <v>13</v>
      </c>
      <c r="E279">
        <v>37</v>
      </c>
      <c r="F279" s="2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s="2" t="s">
        <v>292</v>
      </c>
      <c r="D280" s="2" t="s">
        <v>10</v>
      </c>
      <c r="E280">
        <v>50</v>
      </c>
      <c r="F280" s="2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s="2" t="s">
        <v>293</v>
      </c>
      <c r="D281" s="2" t="s">
        <v>13</v>
      </c>
      <c r="E281">
        <v>37</v>
      </c>
      <c r="F281" s="2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s="2" t="s">
        <v>294</v>
      </c>
      <c r="D282" s="2" t="s">
        <v>13</v>
      </c>
      <c r="E282">
        <v>29</v>
      </c>
      <c r="F282" s="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s="2" t="s">
        <v>295</v>
      </c>
      <c r="D283" s="2" t="s">
        <v>13</v>
      </c>
      <c r="E283">
        <v>64</v>
      </c>
      <c r="F283" s="2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s="2" t="s">
        <v>296</v>
      </c>
      <c r="D284" s="2" t="s">
        <v>13</v>
      </c>
      <c r="E284">
        <v>18</v>
      </c>
      <c r="F284" s="2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s="2" t="s">
        <v>297</v>
      </c>
      <c r="D285" s="2" t="s">
        <v>10</v>
      </c>
      <c r="E285">
        <v>43</v>
      </c>
      <c r="F285" s="2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s="2" t="s">
        <v>298</v>
      </c>
      <c r="D286" s="2" t="s">
        <v>13</v>
      </c>
      <c r="E286">
        <v>31</v>
      </c>
      <c r="F286" s="2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s="2" t="s">
        <v>299</v>
      </c>
      <c r="D287" s="2" t="s">
        <v>10</v>
      </c>
      <c r="E287">
        <v>55</v>
      </c>
      <c r="F287" s="2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s="2" t="s">
        <v>300</v>
      </c>
      <c r="D288" s="2" t="s">
        <v>10</v>
      </c>
      <c r="E288">
        <v>54</v>
      </c>
      <c r="F288" s="2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s="2" t="s">
        <v>301</v>
      </c>
      <c r="D289" s="2" t="s">
        <v>10</v>
      </c>
      <c r="E289">
        <v>28</v>
      </c>
      <c r="F289" s="2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s="2" t="s">
        <v>302</v>
      </c>
      <c r="D290" s="2" t="s">
        <v>10</v>
      </c>
      <c r="E290">
        <v>53</v>
      </c>
      <c r="F290" s="2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s="2" t="s">
        <v>303</v>
      </c>
      <c r="D291" s="2" t="s">
        <v>13</v>
      </c>
      <c r="E291">
        <v>30</v>
      </c>
      <c r="F291" s="2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s="2" t="s">
        <v>304</v>
      </c>
      <c r="D292" s="2" t="s">
        <v>10</v>
      </c>
      <c r="E292">
        <v>60</v>
      </c>
      <c r="F292" s="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s="2" t="s">
        <v>305</v>
      </c>
      <c r="D293" s="2" t="s">
        <v>10</v>
      </c>
      <c r="E293">
        <v>20</v>
      </c>
      <c r="F293" s="2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s="2" t="s">
        <v>306</v>
      </c>
      <c r="D294" s="2" t="s">
        <v>10</v>
      </c>
      <c r="E294">
        <v>50</v>
      </c>
      <c r="F294" s="2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s="2" t="s">
        <v>307</v>
      </c>
      <c r="D295" s="2" t="s">
        <v>13</v>
      </c>
      <c r="E295">
        <v>23</v>
      </c>
      <c r="F295" s="2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s="2" t="s">
        <v>308</v>
      </c>
      <c r="D296" s="2" t="s">
        <v>13</v>
      </c>
      <c r="E296">
        <v>27</v>
      </c>
      <c r="F296" s="2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s="2" t="s">
        <v>309</v>
      </c>
      <c r="D297" s="2" t="s">
        <v>13</v>
      </c>
      <c r="E297">
        <v>22</v>
      </c>
      <c r="F297" s="2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s="2" t="s">
        <v>310</v>
      </c>
      <c r="D298" s="2" t="s">
        <v>13</v>
      </c>
      <c r="E298">
        <v>40</v>
      </c>
      <c r="F298" s="2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s="2" t="s">
        <v>311</v>
      </c>
      <c r="D299" s="2" t="s">
        <v>10</v>
      </c>
      <c r="E299">
        <v>27</v>
      </c>
      <c r="F299" s="2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s="2" t="s">
        <v>312</v>
      </c>
      <c r="D300" s="2" t="s">
        <v>10</v>
      </c>
      <c r="E300">
        <v>61</v>
      </c>
      <c r="F300" s="2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s="2" t="s">
        <v>313</v>
      </c>
      <c r="D301" s="2" t="s">
        <v>13</v>
      </c>
      <c r="E301">
        <v>19</v>
      </c>
      <c r="F301" s="2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s="2" t="s">
        <v>314</v>
      </c>
      <c r="D302" s="2" t="s">
        <v>10</v>
      </c>
      <c r="E302">
        <v>30</v>
      </c>
      <c r="F302" s="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s="2" t="s">
        <v>315</v>
      </c>
      <c r="D303" s="2" t="s">
        <v>10</v>
      </c>
      <c r="E303">
        <v>57</v>
      </c>
      <c r="F303" s="2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s="2" t="s">
        <v>316</v>
      </c>
      <c r="D304" s="2" t="s">
        <v>10</v>
      </c>
      <c r="E304">
        <v>19</v>
      </c>
      <c r="F304" s="2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s="2" t="s">
        <v>317</v>
      </c>
      <c r="D305" s="2" t="s">
        <v>13</v>
      </c>
      <c r="E305">
        <v>37</v>
      </c>
      <c r="F305" s="2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s="2" t="s">
        <v>318</v>
      </c>
      <c r="D306" s="2" t="s">
        <v>13</v>
      </c>
      <c r="E306">
        <v>18</v>
      </c>
      <c r="F306" s="2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s="2" t="s">
        <v>319</v>
      </c>
      <c r="D307" s="2" t="s">
        <v>10</v>
      </c>
      <c r="E307">
        <v>54</v>
      </c>
      <c r="F307" s="2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s="2" t="s">
        <v>320</v>
      </c>
      <c r="D308" s="2" t="s">
        <v>13</v>
      </c>
      <c r="E308">
        <v>26</v>
      </c>
      <c r="F308" s="2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s="2" t="s">
        <v>321</v>
      </c>
      <c r="D309" s="2" t="s">
        <v>13</v>
      </c>
      <c r="E309">
        <v>34</v>
      </c>
      <c r="F309" s="2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s="2" t="s">
        <v>322</v>
      </c>
      <c r="D310" s="2" t="s">
        <v>13</v>
      </c>
      <c r="E310">
        <v>26</v>
      </c>
      <c r="F310" s="2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s="2" t="s">
        <v>323</v>
      </c>
      <c r="D311" s="2" t="s">
        <v>13</v>
      </c>
      <c r="E311">
        <v>28</v>
      </c>
      <c r="F311" s="2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s="2" t="s">
        <v>324</v>
      </c>
      <c r="D312" s="2" t="s">
        <v>13</v>
      </c>
      <c r="E312">
        <v>32</v>
      </c>
      <c r="F312" s="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s="2" t="s">
        <v>325</v>
      </c>
      <c r="D313" s="2" t="s">
        <v>10</v>
      </c>
      <c r="E313">
        <v>41</v>
      </c>
      <c r="F313" s="2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s="2" t="s">
        <v>326</v>
      </c>
      <c r="D314" s="2" t="s">
        <v>13</v>
      </c>
      <c r="E314">
        <v>55</v>
      </c>
      <c r="F314" s="2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s="2" t="s">
        <v>327</v>
      </c>
      <c r="D315" s="2" t="s">
        <v>10</v>
      </c>
      <c r="E315">
        <v>52</v>
      </c>
      <c r="F315" s="2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s="2" t="s">
        <v>328</v>
      </c>
      <c r="D316" s="2" t="s">
        <v>10</v>
      </c>
      <c r="E316">
        <v>47</v>
      </c>
      <c r="F316" s="2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s="2" t="s">
        <v>329</v>
      </c>
      <c r="D317" s="2" t="s">
        <v>13</v>
      </c>
      <c r="E317">
        <v>48</v>
      </c>
      <c r="F317" s="2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s="2" t="s">
        <v>330</v>
      </c>
      <c r="D318" s="2" t="s">
        <v>10</v>
      </c>
      <c r="E318">
        <v>22</v>
      </c>
      <c r="F318" s="2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s="2" t="s">
        <v>331</v>
      </c>
      <c r="D319" s="2" t="s">
        <v>10</v>
      </c>
      <c r="E319">
        <v>61</v>
      </c>
      <c r="F319" s="2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s="2" t="s">
        <v>332</v>
      </c>
      <c r="D320" s="2" t="s">
        <v>10</v>
      </c>
      <c r="E320">
        <v>31</v>
      </c>
      <c r="F320" s="2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s="2" t="s">
        <v>333</v>
      </c>
      <c r="D321" s="2" t="s">
        <v>13</v>
      </c>
      <c r="E321">
        <v>28</v>
      </c>
      <c r="F321" s="2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s="2" t="s">
        <v>334</v>
      </c>
      <c r="D322" s="2" t="s">
        <v>13</v>
      </c>
      <c r="E322">
        <v>26</v>
      </c>
      <c r="F322" s="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s="2" t="s">
        <v>335</v>
      </c>
      <c r="D323" s="2" t="s">
        <v>10</v>
      </c>
      <c r="E323">
        <v>51</v>
      </c>
      <c r="F323" s="2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s="2" t="s">
        <v>336</v>
      </c>
      <c r="D324" s="2" t="s">
        <v>13</v>
      </c>
      <c r="E324">
        <v>29</v>
      </c>
      <c r="F324" s="2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s="2" t="s">
        <v>337</v>
      </c>
      <c r="D325" s="2" t="s">
        <v>13</v>
      </c>
      <c r="E325">
        <v>52</v>
      </c>
      <c r="F325" s="2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s="2" t="s">
        <v>338</v>
      </c>
      <c r="D326" s="2" t="s">
        <v>13</v>
      </c>
      <c r="E326">
        <v>52</v>
      </c>
      <c r="F326" s="2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s="2" t="s">
        <v>339</v>
      </c>
      <c r="D327" s="2" t="s">
        <v>13</v>
      </c>
      <c r="E327">
        <v>18</v>
      </c>
      <c r="F327" s="2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s="2" t="s">
        <v>340</v>
      </c>
      <c r="D328" s="2" t="s">
        <v>10</v>
      </c>
      <c r="E328">
        <v>57</v>
      </c>
      <c r="F328" s="2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s="2" t="s">
        <v>341</v>
      </c>
      <c r="D329" s="2" t="s">
        <v>10</v>
      </c>
      <c r="E329">
        <v>39</v>
      </c>
      <c r="F329" s="2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s="2" t="s">
        <v>342</v>
      </c>
      <c r="D330" s="2" t="s">
        <v>13</v>
      </c>
      <c r="E330">
        <v>46</v>
      </c>
      <c r="F330" s="2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s="2" t="s">
        <v>343</v>
      </c>
      <c r="D331" s="2" t="s">
        <v>13</v>
      </c>
      <c r="E331">
        <v>25</v>
      </c>
      <c r="F331" s="2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s="2" t="s">
        <v>344</v>
      </c>
      <c r="D332" s="2" t="s">
        <v>10</v>
      </c>
      <c r="E332">
        <v>28</v>
      </c>
      <c r="F332" s="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s="2" t="s">
        <v>345</v>
      </c>
      <c r="D333" s="2" t="s">
        <v>10</v>
      </c>
      <c r="E333">
        <v>58</v>
      </c>
      <c r="F333" s="2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s="2" t="s">
        <v>346</v>
      </c>
      <c r="D334" s="2" t="s">
        <v>13</v>
      </c>
      <c r="E334">
        <v>54</v>
      </c>
      <c r="F334" s="2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s="2" t="s">
        <v>347</v>
      </c>
      <c r="D335" s="2" t="s">
        <v>10</v>
      </c>
      <c r="E335">
        <v>31</v>
      </c>
      <c r="F335" s="2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s="2" t="s">
        <v>348</v>
      </c>
      <c r="D336" s="2" t="s">
        <v>13</v>
      </c>
      <c r="E336">
        <v>47</v>
      </c>
      <c r="F336" s="2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s="2" t="s">
        <v>349</v>
      </c>
      <c r="D337" s="2" t="s">
        <v>13</v>
      </c>
      <c r="E337">
        <v>52</v>
      </c>
      <c r="F337" s="2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s="2" t="s">
        <v>350</v>
      </c>
      <c r="D338" s="2" t="s">
        <v>10</v>
      </c>
      <c r="E338">
        <v>38</v>
      </c>
      <c r="F338" s="2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s="2" t="s">
        <v>351</v>
      </c>
      <c r="D339" s="2" t="s">
        <v>10</v>
      </c>
      <c r="E339">
        <v>54</v>
      </c>
      <c r="F339" s="2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s="2" t="s">
        <v>352</v>
      </c>
      <c r="D340" s="2" t="s">
        <v>13</v>
      </c>
      <c r="E340">
        <v>22</v>
      </c>
      <c r="F340" s="2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s="2" t="s">
        <v>353</v>
      </c>
      <c r="D341" s="2" t="s">
        <v>13</v>
      </c>
      <c r="E341">
        <v>36</v>
      </c>
      <c r="F341" s="2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s="2" t="s">
        <v>354</v>
      </c>
      <c r="D342" s="2" t="s">
        <v>10</v>
      </c>
      <c r="E342">
        <v>31</v>
      </c>
      <c r="F342" s="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s="2" t="s">
        <v>355</v>
      </c>
      <c r="D343" s="2" t="s">
        <v>13</v>
      </c>
      <c r="E343">
        <v>43</v>
      </c>
      <c r="F343" s="2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s="2" t="s">
        <v>356</v>
      </c>
      <c r="D344" s="2" t="s">
        <v>10</v>
      </c>
      <c r="E344">
        <v>21</v>
      </c>
      <c r="F344" s="2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s="2" t="s">
        <v>357</v>
      </c>
      <c r="D345" s="2" t="s">
        <v>13</v>
      </c>
      <c r="E345">
        <v>42</v>
      </c>
      <c r="F345" s="2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s="2" t="s">
        <v>358</v>
      </c>
      <c r="D346" s="2" t="s">
        <v>10</v>
      </c>
      <c r="E346">
        <v>62</v>
      </c>
      <c r="F346" s="2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s="2" t="s">
        <v>359</v>
      </c>
      <c r="D347" s="2" t="s">
        <v>10</v>
      </c>
      <c r="E347">
        <v>59</v>
      </c>
      <c r="F347" s="2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s="2" t="s">
        <v>360</v>
      </c>
      <c r="D348" s="2" t="s">
        <v>10</v>
      </c>
      <c r="E348">
        <v>42</v>
      </c>
      <c r="F348" s="2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s="2" t="s">
        <v>361</v>
      </c>
      <c r="D349" s="2" t="s">
        <v>13</v>
      </c>
      <c r="E349">
        <v>35</v>
      </c>
      <c r="F349" s="2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s="2" t="s">
        <v>362</v>
      </c>
      <c r="D350" s="2" t="s">
        <v>13</v>
      </c>
      <c r="E350">
        <v>57</v>
      </c>
      <c r="F350" s="2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s="2" t="s">
        <v>363</v>
      </c>
      <c r="D351" s="2" t="s">
        <v>10</v>
      </c>
      <c r="E351">
        <v>25</v>
      </c>
      <c r="F351" s="2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s="2" t="s">
        <v>364</v>
      </c>
      <c r="D352" s="2" t="s">
        <v>13</v>
      </c>
      <c r="E352">
        <v>56</v>
      </c>
      <c r="F352" s="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s="2" t="s">
        <v>365</v>
      </c>
      <c r="D353" s="2" t="s">
        <v>10</v>
      </c>
      <c r="E353">
        <v>57</v>
      </c>
      <c r="F353" s="2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s="2" t="s">
        <v>366</v>
      </c>
      <c r="D354" s="2" t="s">
        <v>10</v>
      </c>
      <c r="E354">
        <v>31</v>
      </c>
      <c r="F354" s="2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s="2" t="s">
        <v>367</v>
      </c>
      <c r="D355" s="2" t="s">
        <v>13</v>
      </c>
      <c r="E355">
        <v>49</v>
      </c>
      <c r="F355" s="2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s="2" t="s">
        <v>368</v>
      </c>
      <c r="D356" s="2" t="s">
        <v>13</v>
      </c>
      <c r="E356">
        <v>55</v>
      </c>
      <c r="F356" s="2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s="2" t="s">
        <v>369</v>
      </c>
      <c r="D357" s="2" t="s">
        <v>10</v>
      </c>
      <c r="E357">
        <v>50</v>
      </c>
      <c r="F357" s="2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s="2" t="s">
        <v>370</v>
      </c>
      <c r="D358" s="2" t="s">
        <v>13</v>
      </c>
      <c r="E358">
        <v>40</v>
      </c>
      <c r="F358" s="2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s="2" t="s">
        <v>371</v>
      </c>
      <c r="D359" s="2" t="s">
        <v>13</v>
      </c>
      <c r="E359">
        <v>32</v>
      </c>
      <c r="F359" s="2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s="2" t="s">
        <v>372</v>
      </c>
      <c r="D360" s="2" t="s">
        <v>10</v>
      </c>
      <c r="E360">
        <v>50</v>
      </c>
      <c r="F360" s="2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s="2" t="s">
        <v>373</v>
      </c>
      <c r="D361" s="2" t="s">
        <v>10</v>
      </c>
      <c r="E361">
        <v>42</v>
      </c>
      <c r="F361" s="2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s="2" t="s">
        <v>374</v>
      </c>
      <c r="D362" s="2" t="s">
        <v>13</v>
      </c>
      <c r="E362">
        <v>34</v>
      </c>
      <c r="F362" s="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s="2" t="s">
        <v>375</v>
      </c>
      <c r="D363" s="2" t="s">
        <v>10</v>
      </c>
      <c r="E363">
        <v>50</v>
      </c>
      <c r="F363" s="2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s="2" t="s">
        <v>376</v>
      </c>
      <c r="D364" s="2" t="s">
        <v>10</v>
      </c>
      <c r="E364">
        <v>64</v>
      </c>
      <c r="F364" s="2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s="2" t="s">
        <v>377</v>
      </c>
      <c r="D365" s="2" t="s">
        <v>13</v>
      </c>
      <c r="E365">
        <v>19</v>
      </c>
      <c r="F365" s="2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s="2" t="s">
        <v>378</v>
      </c>
      <c r="D366" s="2" t="s">
        <v>10</v>
      </c>
      <c r="E366">
        <v>31</v>
      </c>
      <c r="F366" s="2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s="2" t="s">
        <v>379</v>
      </c>
      <c r="D367" s="2" t="s">
        <v>10</v>
      </c>
      <c r="E367">
        <v>57</v>
      </c>
      <c r="F367" s="2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s="2" t="s">
        <v>380</v>
      </c>
      <c r="D368" s="2" t="s">
        <v>13</v>
      </c>
      <c r="E368">
        <v>57</v>
      </c>
      <c r="F368" s="2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s="2" t="s">
        <v>381</v>
      </c>
      <c r="D369" s="2" t="s">
        <v>13</v>
      </c>
      <c r="E369">
        <v>56</v>
      </c>
      <c r="F369" s="2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s="2" t="s">
        <v>382</v>
      </c>
      <c r="D370" s="2" t="s">
        <v>10</v>
      </c>
      <c r="E370">
        <v>23</v>
      </c>
      <c r="F370" s="2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s="2" t="s">
        <v>383</v>
      </c>
      <c r="D371" s="2" t="s">
        <v>10</v>
      </c>
      <c r="E371">
        <v>23</v>
      </c>
      <c r="F371" s="2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s="2" t="s">
        <v>384</v>
      </c>
      <c r="D372" s="2" t="s">
        <v>13</v>
      </c>
      <c r="E372">
        <v>20</v>
      </c>
      <c r="F372" s="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s="2" t="s">
        <v>385</v>
      </c>
      <c r="D373" s="2" t="s">
        <v>13</v>
      </c>
      <c r="E373">
        <v>24</v>
      </c>
      <c r="F373" s="2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s="2" t="s">
        <v>386</v>
      </c>
      <c r="D374" s="2" t="s">
        <v>13</v>
      </c>
      <c r="E374">
        <v>25</v>
      </c>
      <c r="F374" s="2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s="2" t="s">
        <v>387</v>
      </c>
      <c r="D375" s="2" t="s">
        <v>13</v>
      </c>
      <c r="E375">
        <v>59</v>
      </c>
      <c r="F375" s="2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s="2" t="s">
        <v>388</v>
      </c>
      <c r="D376" s="2" t="s">
        <v>10</v>
      </c>
      <c r="E376">
        <v>32</v>
      </c>
      <c r="F376" s="2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s="2" t="s">
        <v>389</v>
      </c>
      <c r="D377" s="2" t="s">
        <v>13</v>
      </c>
      <c r="E377">
        <v>64</v>
      </c>
      <c r="F377" s="2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s="2" t="s">
        <v>390</v>
      </c>
      <c r="D378" s="2" t="s">
        <v>13</v>
      </c>
      <c r="E378">
        <v>46</v>
      </c>
      <c r="F378" s="2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s="2" t="s">
        <v>391</v>
      </c>
      <c r="D379" s="2" t="s">
        <v>10</v>
      </c>
      <c r="E379">
        <v>50</v>
      </c>
      <c r="F379" s="2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s="2" t="s">
        <v>392</v>
      </c>
      <c r="D380" s="2" t="s">
        <v>13</v>
      </c>
      <c r="E380">
        <v>47</v>
      </c>
      <c r="F380" s="2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s="2" t="s">
        <v>393</v>
      </c>
      <c r="D381" s="2" t="s">
        <v>10</v>
      </c>
      <c r="E381">
        <v>56</v>
      </c>
      <c r="F381" s="2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s="2" t="s">
        <v>394</v>
      </c>
      <c r="D382" s="2" t="s">
        <v>13</v>
      </c>
      <c r="E382">
        <v>44</v>
      </c>
      <c r="F382" s="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s="2" t="s">
        <v>395</v>
      </c>
      <c r="D383" s="2" t="s">
        <v>13</v>
      </c>
      <c r="E383">
        <v>53</v>
      </c>
      <c r="F383" s="2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s="2" t="s">
        <v>396</v>
      </c>
      <c r="D384" s="2" t="s">
        <v>13</v>
      </c>
      <c r="E384">
        <v>46</v>
      </c>
      <c r="F384" s="2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s="2" t="s">
        <v>397</v>
      </c>
      <c r="D385" s="2" t="s">
        <v>10</v>
      </c>
      <c r="E385">
        <v>55</v>
      </c>
      <c r="F385" s="2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s="2" t="s">
        <v>398</v>
      </c>
      <c r="D386" s="2" t="s">
        <v>10</v>
      </c>
      <c r="E386">
        <v>50</v>
      </c>
      <c r="F386" s="2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s="2" t="s">
        <v>399</v>
      </c>
      <c r="D387" s="2" t="s">
        <v>13</v>
      </c>
      <c r="E387">
        <v>54</v>
      </c>
      <c r="F387" s="2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s="2" t="s">
        <v>400</v>
      </c>
      <c r="D388" s="2" t="s">
        <v>10</v>
      </c>
      <c r="E388">
        <v>44</v>
      </c>
      <c r="F388" s="2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s="2" t="s">
        <v>401</v>
      </c>
      <c r="D389" s="2" t="s">
        <v>10</v>
      </c>
      <c r="E389">
        <v>50</v>
      </c>
      <c r="F389" s="2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s="2" t="s">
        <v>402</v>
      </c>
      <c r="D390" s="2" t="s">
        <v>10</v>
      </c>
      <c r="E390">
        <v>21</v>
      </c>
      <c r="F390" s="2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s="2" t="s">
        <v>403</v>
      </c>
      <c r="D391" s="2" t="s">
        <v>10</v>
      </c>
      <c r="E391">
        <v>39</v>
      </c>
      <c r="F391" s="2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s="2" t="s">
        <v>404</v>
      </c>
      <c r="D392" s="2" t="s">
        <v>10</v>
      </c>
      <c r="E392">
        <v>19</v>
      </c>
      <c r="F392" s="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s="2" t="s">
        <v>405</v>
      </c>
      <c r="D393" s="2" t="s">
        <v>10</v>
      </c>
      <c r="E393">
        <v>27</v>
      </c>
      <c r="F393" s="2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s="2" t="s">
        <v>406</v>
      </c>
      <c r="D394" s="2" t="s">
        <v>13</v>
      </c>
      <c r="E394">
        <v>22</v>
      </c>
      <c r="F394" s="2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s="2" t="s">
        <v>407</v>
      </c>
      <c r="D395" s="2" t="s">
        <v>13</v>
      </c>
      <c r="E395">
        <v>27</v>
      </c>
      <c r="F395" s="2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s="2" t="s">
        <v>408</v>
      </c>
      <c r="D396" s="2" t="s">
        <v>10</v>
      </c>
      <c r="E396">
        <v>50</v>
      </c>
      <c r="F396" s="2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s="2" t="s">
        <v>409</v>
      </c>
      <c r="D397" s="2" t="s">
        <v>13</v>
      </c>
      <c r="E397">
        <v>55</v>
      </c>
      <c r="F397" s="2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s="2" t="s">
        <v>410</v>
      </c>
      <c r="D398" s="2" t="s">
        <v>13</v>
      </c>
      <c r="E398">
        <v>30</v>
      </c>
      <c r="F398" s="2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s="2" t="s">
        <v>411</v>
      </c>
      <c r="D399" s="2" t="s">
        <v>13</v>
      </c>
      <c r="E399">
        <v>48</v>
      </c>
      <c r="F399" s="2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s="2" t="s">
        <v>412</v>
      </c>
      <c r="D400" s="2" t="s">
        <v>13</v>
      </c>
      <c r="E400">
        <v>64</v>
      </c>
      <c r="F400" s="2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s="2" t="s">
        <v>413</v>
      </c>
      <c r="D401" s="2" t="s">
        <v>10</v>
      </c>
      <c r="E401">
        <v>53</v>
      </c>
      <c r="F401" s="2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s="2" t="s">
        <v>414</v>
      </c>
      <c r="D402" s="2" t="s">
        <v>13</v>
      </c>
      <c r="E402">
        <v>62</v>
      </c>
      <c r="F402" s="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s="2" t="s">
        <v>415</v>
      </c>
      <c r="D403" s="2" t="s">
        <v>13</v>
      </c>
      <c r="E403">
        <v>41</v>
      </c>
      <c r="F403" s="2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s="2" t="s">
        <v>416</v>
      </c>
      <c r="D404" s="2" t="s">
        <v>10</v>
      </c>
      <c r="E404">
        <v>32</v>
      </c>
      <c r="F404" s="2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s="2" t="s">
        <v>417</v>
      </c>
      <c r="D405" s="2" t="s">
        <v>10</v>
      </c>
      <c r="E405">
        <v>46</v>
      </c>
      <c r="F405" s="2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s="2" t="s">
        <v>418</v>
      </c>
      <c r="D406" s="2" t="s">
        <v>13</v>
      </c>
      <c r="E406">
        <v>25</v>
      </c>
      <c r="F406" s="2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s="2" t="s">
        <v>419</v>
      </c>
      <c r="D407" s="2" t="s">
        <v>13</v>
      </c>
      <c r="E407">
        <v>22</v>
      </c>
      <c r="F407" s="2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s="2" t="s">
        <v>420</v>
      </c>
      <c r="D408" s="2" t="s">
        <v>13</v>
      </c>
      <c r="E408">
        <v>46</v>
      </c>
      <c r="F408" s="2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s="2" t="s">
        <v>421</v>
      </c>
      <c r="D409" s="2" t="s">
        <v>13</v>
      </c>
      <c r="E409">
        <v>64</v>
      </c>
      <c r="F409" s="2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s="2" t="s">
        <v>422</v>
      </c>
      <c r="D410" s="2" t="s">
        <v>13</v>
      </c>
      <c r="E410">
        <v>21</v>
      </c>
      <c r="F410" s="2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s="2" t="s">
        <v>423</v>
      </c>
      <c r="D411" s="2" t="s">
        <v>13</v>
      </c>
      <c r="E411">
        <v>29</v>
      </c>
      <c r="F411" s="2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s="2" t="s">
        <v>424</v>
      </c>
      <c r="D412" s="2" t="s">
        <v>10</v>
      </c>
      <c r="E412">
        <v>62</v>
      </c>
      <c r="F412" s="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s="2" t="s">
        <v>425</v>
      </c>
      <c r="D413" s="2" t="s">
        <v>13</v>
      </c>
      <c r="E413">
        <v>19</v>
      </c>
      <c r="F413" s="2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s="2" t="s">
        <v>426</v>
      </c>
      <c r="D414" s="2" t="s">
        <v>13</v>
      </c>
      <c r="E414">
        <v>44</v>
      </c>
      <c r="F414" s="2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s="2" t="s">
        <v>427</v>
      </c>
      <c r="D415" s="2" t="s">
        <v>10</v>
      </c>
      <c r="E415">
        <v>48</v>
      </c>
      <c r="F415" s="2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s="2" t="s">
        <v>428</v>
      </c>
      <c r="D416" s="2" t="s">
        <v>10</v>
      </c>
      <c r="E416">
        <v>53</v>
      </c>
      <c r="F416" s="2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s="2" t="s">
        <v>429</v>
      </c>
      <c r="D417" s="2" t="s">
        <v>10</v>
      </c>
      <c r="E417">
        <v>53</v>
      </c>
      <c r="F417" s="2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s="2" t="s">
        <v>430</v>
      </c>
      <c r="D418" s="2" t="s">
        <v>10</v>
      </c>
      <c r="E418">
        <v>43</v>
      </c>
      <c r="F418" s="2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s="2" t="s">
        <v>431</v>
      </c>
      <c r="D419" s="2" t="s">
        <v>13</v>
      </c>
      <c r="E419">
        <v>60</v>
      </c>
      <c r="F419" s="2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s="2" t="s">
        <v>432</v>
      </c>
      <c r="D420" s="2" t="s">
        <v>13</v>
      </c>
      <c r="E420">
        <v>44</v>
      </c>
      <c r="F420" s="2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s="2" t="s">
        <v>433</v>
      </c>
      <c r="D421" s="2" t="s">
        <v>13</v>
      </c>
      <c r="E421">
        <v>22</v>
      </c>
      <c r="F421" s="2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s="2" t="s">
        <v>434</v>
      </c>
      <c r="D422" s="2" t="s">
        <v>13</v>
      </c>
      <c r="E422">
        <v>37</v>
      </c>
      <c r="F422" s="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s="2" t="s">
        <v>435</v>
      </c>
      <c r="D423" s="2" t="s">
        <v>13</v>
      </c>
      <c r="E423">
        <v>28</v>
      </c>
      <c r="F423" s="2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s="2" t="s">
        <v>436</v>
      </c>
      <c r="D424" s="2" t="s">
        <v>13</v>
      </c>
      <c r="E424">
        <v>27</v>
      </c>
      <c r="F424" s="2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s="2" t="s">
        <v>437</v>
      </c>
      <c r="D425" s="2" t="s">
        <v>10</v>
      </c>
      <c r="E425">
        <v>57</v>
      </c>
      <c r="F425" s="2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s="2" t="s">
        <v>438</v>
      </c>
      <c r="D426" s="2" t="s">
        <v>13</v>
      </c>
      <c r="E426">
        <v>55</v>
      </c>
      <c r="F426" s="2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s="2" t="s">
        <v>439</v>
      </c>
      <c r="D427" s="2" t="s">
        <v>10</v>
      </c>
      <c r="E427">
        <v>23</v>
      </c>
      <c r="F427" s="2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s="2" t="s">
        <v>440</v>
      </c>
      <c r="D428" s="2" t="s">
        <v>10</v>
      </c>
      <c r="E428">
        <v>25</v>
      </c>
      <c r="F428" s="2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s="2" t="s">
        <v>441</v>
      </c>
      <c r="D429" s="2" t="s">
        <v>13</v>
      </c>
      <c r="E429">
        <v>40</v>
      </c>
      <c r="F429" s="2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s="2" t="s">
        <v>442</v>
      </c>
      <c r="D430" s="2" t="s">
        <v>10</v>
      </c>
      <c r="E430">
        <v>64</v>
      </c>
      <c r="F430" s="2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s="2" t="s">
        <v>443</v>
      </c>
      <c r="D431" s="2" t="s">
        <v>13</v>
      </c>
      <c r="E431">
        <v>43</v>
      </c>
      <c r="F431" s="2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s="2" t="s">
        <v>444</v>
      </c>
      <c r="D432" s="2" t="s">
        <v>10</v>
      </c>
      <c r="E432">
        <v>63</v>
      </c>
      <c r="F432" s="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s="2" t="s">
        <v>445</v>
      </c>
      <c r="D433" s="2" t="s">
        <v>13</v>
      </c>
      <c r="E433">
        <v>60</v>
      </c>
      <c r="F433" s="2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s="2" t="s">
        <v>446</v>
      </c>
      <c r="D434" s="2" t="s">
        <v>10</v>
      </c>
      <c r="E434">
        <v>29</v>
      </c>
      <c r="F434" s="2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s="2" t="s">
        <v>447</v>
      </c>
      <c r="D435" s="2" t="s">
        <v>13</v>
      </c>
      <c r="E435">
        <v>43</v>
      </c>
      <c r="F435" s="2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s="2" t="s">
        <v>448</v>
      </c>
      <c r="D436" s="2" t="s">
        <v>13</v>
      </c>
      <c r="E436">
        <v>30</v>
      </c>
      <c r="F436" s="2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s="2" t="s">
        <v>449</v>
      </c>
      <c r="D437" s="2" t="s">
        <v>13</v>
      </c>
      <c r="E437">
        <v>57</v>
      </c>
      <c r="F437" s="2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s="2" t="s">
        <v>450</v>
      </c>
      <c r="D438" s="2" t="s">
        <v>13</v>
      </c>
      <c r="E438">
        <v>35</v>
      </c>
      <c r="F438" s="2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s="2" t="s">
        <v>451</v>
      </c>
      <c r="D439" s="2" t="s">
        <v>13</v>
      </c>
      <c r="E439">
        <v>42</v>
      </c>
      <c r="F439" s="2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s="2" t="s">
        <v>452</v>
      </c>
      <c r="D440" s="2" t="s">
        <v>10</v>
      </c>
      <c r="E440">
        <v>50</v>
      </c>
      <c r="F440" s="2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s="2" t="s">
        <v>453</v>
      </c>
      <c r="D441" s="2" t="s">
        <v>10</v>
      </c>
      <c r="E441">
        <v>64</v>
      </c>
      <c r="F441" s="2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s="2" t="s">
        <v>454</v>
      </c>
      <c r="D442" s="2" t="s">
        <v>10</v>
      </c>
      <c r="E442">
        <v>57</v>
      </c>
      <c r="F442" s="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s="2" t="s">
        <v>455</v>
      </c>
      <c r="D443" s="2" t="s">
        <v>13</v>
      </c>
      <c r="E443">
        <v>60</v>
      </c>
      <c r="F443" s="2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s="2" t="s">
        <v>456</v>
      </c>
      <c r="D444" s="2" t="s">
        <v>10</v>
      </c>
      <c r="E444">
        <v>29</v>
      </c>
      <c r="F444" s="2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s="2" t="s">
        <v>457</v>
      </c>
      <c r="D445" s="2" t="s">
        <v>13</v>
      </c>
      <c r="E445">
        <v>61</v>
      </c>
      <c r="F445" s="2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s="2" t="s">
        <v>458</v>
      </c>
      <c r="D446" s="2" t="s">
        <v>13</v>
      </c>
      <c r="E446">
        <v>53</v>
      </c>
      <c r="F446" s="2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s="2" t="s">
        <v>459</v>
      </c>
      <c r="D447" s="2" t="s">
        <v>10</v>
      </c>
      <c r="E447">
        <v>21</v>
      </c>
      <c r="F447" s="2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s="2" t="s">
        <v>460</v>
      </c>
      <c r="D448" s="2" t="s">
        <v>10</v>
      </c>
      <c r="E448">
        <v>22</v>
      </c>
      <c r="F448" s="2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s="2" t="s">
        <v>461</v>
      </c>
      <c r="D449" s="2" t="s">
        <v>13</v>
      </c>
      <c r="E449">
        <v>54</v>
      </c>
      <c r="F449" s="2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s="2" t="s">
        <v>462</v>
      </c>
      <c r="D450" s="2" t="s">
        <v>10</v>
      </c>
      <c r="E450">
        <v>25</v>
      </c>
      <c r="F450" s="2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s="2" t="s">
        <v>463</v>
      </c>
      <c r="D451" s="2" t="s">
        <v>13</v>
      </c>
      <c r="E451">
        <v>59</v>
      </c>
      <c r="F451" s="2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s="2" t="s">
        <v>464</v>
      </c>
      <c r="D452" s="2" t="s">
        <v>13</v>
      </c>
      <c r="E452">
        <v>45</v>
      </c>
      <c r="F452" s="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s="2" t="s">
        <v>465</v>
      </c>
      <c r="D453" s="2" t="s">
        <v>13</v>
      </c>
      <c r="E453">
        <v>48</v>
      </c>
      <c r="F453" s="2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s="2" t="s">
        <v>466</v>
      </c>
      <c r="D454" s="2" t="s">
        <v>13</v>
      </c>
      <c r="E454">
        <v>26</v>
      </c>
      <c r="F454" s="2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s="2" t="s">
        <v>467</v>
      </c>
      <c r="D455" s="2" t="s">
        <v>13</v>
      </c>
      <c r="E455">
        <v>46</v>
      </c>
      <c r="F455" s="2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s="2" t="s">
        <v>468</v>
      </c>
      <c r="D456" s="2" t="s">
        <v>10</v>
      </c>
      <c r="E456">
        <v>31</v>
      </c>
      <c r="F456" s="2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s="2" t="s">
        <v>469</v>
      </c>
      <c r="D457" s="2" t="s">
        <v>10</v>
      </c>
      <c r="E457">
        <v>57</v>
      </c>
      <c r="F457" s="2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s="2" t="s">
        <v>470</v>
      </c>
      <c r="D458" s="2" t="s">
        <v>13</v>
      </c>
      <c r="E458">
        <v>58</v>
      </c>
      <c r="F458" s="2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s="2" t="s">
        <v>471</v>
      </c>
      <c r="D459" s="2" t="s">
        <v>13</v>
      </c>
      <c r="E459">
        <v>39</v>
      </c>
      <c r="F459" s="2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s="2" t="s">
        <v>472</v>
      </c>
      <c r="D460" s="2" t="s">
        <v>10</v>
      </c>
      <c r="E460">
        <v>28</v>
      </c>
      <c r="F460" s="2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s="2" t="s">
        <v>473</v>
      </c>
      <c r="D461" s="2" t="s">
        <v>10</v>
      </c>
      <c r="E461">
        <v>40</v>
      </c>
      <c r="F461" s="2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s="2" t="s">
        <v>474</v>
      </c>
      <c r="D462" s="2" t="s">
        <v>13</v>
      </c>
      <c r="E462">
        <v>18</v>
      </c>
      <c r="F462" s="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s="2" t="s">
        <v>475</v>
      </c>
      <c r="D463" s="2" t="s">
        <v>10</v>
      </c>
      <c r="E463">
        <v>63</v>
      </c>
      <c r="F463" s="2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s="2" t="s">
        <v>476</v>
      </c>
      <c r="D464" s="2" t="s">
        <v>13</v>
      </c>
      <c r="E464">
        <v>54</v>
      </c>
      <c r="F464" s="2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s="2" t="s">
        <v>477</v>
      </c>
      <c r="D465" s="2" t="s">
        <v>10</v>
      </c>
      <c r="E465">
        <v>38</v>
      </c>
      <c r="F465" s="2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s="2" t="s">
        <v>478</v>
      </c>
      <c r="D466" s="2" t="s">
        <v>13</v>
      </c>
      <c r="E466">
        <v>43</v>
      </c>
      <c r="F466" s="2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s="2" t="s">
        <v>479</v>
      </c>
      <c r="D467" s="2" t="s">
        <v>10</v>
      </c>
      <c r="E467">
        <v>63</v>
      </c>
      <c r="F467" s="2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s="2" t="s">
        <v>480</v>
      </c>
      <c r="D468" s="2" t="s">
        <v>13</v>
      </c>
      <c r="E468">
        <v>53</v>
      </c>
      <c r="F468" s="2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s="2" t="s">
        <v>481</v>
      </c>
      <c r="D469" s="2" t="s">
        <v>10</v>
      </c>
      <c r="E469">
        <v>40</v>
      </c>
      <c r="F469" s="2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s="2" t="s">
        <v>482</v>
      </c>
      <c r="D470" s="2" t="s">
        <v>10</v>
      </c>
      <c r="E470">
        <v>18</v>
      </c>
      <c r="F470" s="2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s="2" t="s">
        <v>483</v>
      </c>
      <c r="D471" s="2" t="s">
        <v>13</v>
      </c>
      <c r="E471">
        <v>57</v>
      </c>
      <c r="F471" s="2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s="2" t="s">
        <v>484</v>
      </c>
      <c r="D472" s="2" t="s">
        <v>10</v>
      </c>
      <c r="E472">
        <v>32</v>
      </c>
      <c r="F472" s="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s="2" t="s">
        <v>485</v>
      </c>
      <c r="D473" s="2" t="s">
        <v>13</v>
      </c>
      <c r="E473">
        <v>38</v>
      </c>
      <c r="F473" s="2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s="2" t="s">
        <v>486</v>
      </c>
      <c r="D474" s="2" t="s">
        <v>10</v>
      </c>
      <c r="E474">
        <v>64</v>
      </c>
      <c r="F474" s="2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s="2" t="s">
        <v>487</v>
      </c>
      <c r="D475" s="2" t="s">
        <v>13</v>
      </c>
      <c r="E475">
        <v>26</v>
      </c>
      <c r="F475" s="2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s="2" t="s">
        <v>488</v>
      </c>
      <c r="D476" s="2" t="s">
        <v>10</v>
      </c>
      <c r="E476">
        <v>26</v>
      </c>
      <c r="F476" s="2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s="2" t="s">
        <v>489</v>
      </c>
      <c r="D477" s="2" t="s">
        <v>13</v>
      </c>
      <c r="E477">
        <v>27</v>
      </c>
      <c r="F477" s="2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s="2" t="s">
        <v>490</v>
      </c>
      <c r="D478" s="2" t="s">
        <v>10</v>
      </c>
      <c r="E478">
        <v>43</v>
      </c>
      <c r="F478" s="2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s="2" t="s">
        <v>491</v>
      </c>
      <c r="D479" s="2" t="s">
        <v>13</v>
      </c>
      <c r="E479">
        <v>58</v>
      </c>
      <c r="F479" s="2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s="2" t="s">
        <v>492</v>
      </c>
      <c r="D480" s="2" t="s">
        <v>10</v>
      </c>
      <c r="E480">
        <v>52</v>
      </c>
      <c r="F480" s="2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s="2" t="s">
        <v>493</v>
      </c>
      <c r="D481" s="2" t="s">
        <v>13</v>
      </c>
      <c r="E481">
        <v>42</v>
      </c>
      <c r="F481" s="2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s="2" t="s">
        <v>494</v>
      </c>
      <c r="D482" s="2" t="s">
        <v>13</v>
      </c>
      <c r="E482">
        <v>43</v>
      </c>
      <c r="F482" s="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s="2" t="s">
        <v>495</v>
      </c>
      <c r="D483" s="2" t="s">
        <v>13</v>
      </c>
      <c r="E483">
        <v>28</v>
      </c>
      <c r="F483" s="2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s="2" t="s">
        <v>496</v>
      </c>
      <c r="D484" s="2" t="s">
        <v>10</v>
      </c>
      <c r="E484">
        <v>55</v>
      </c>
      <c r="F484" s="2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s="2" t="s">
        <v>497</v>
      </c>
      <c r="D485" s="2" t="s">
        <v>13</v>
      </c>
      <c r="E485">
        <v>19</v>
      </c>
      <c r="F485" s="2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s="2" t="s">
        <v>498</v>
      </c>
      <c r="D486" s="2" t="s">
        <v>10</v>
      </c>
      <c r="E486">
        <v>24</v>
      </c>
      <c r="F486" s="2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s="2" t="s">
        <v>499</v>
      </c>
      <c r="D487" s="2" t="s">
        <v>13</v>
      </c>
      <c r="E487">
        <v>35</v>
      </c>
      <c r="F487" s="2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s="2" t="s">
        <v>500</v>
      </c>
      <c r="D488" s="2" t="s">
        <v>10</v>
      </c>
      <c r="E488">
        <v>44</v>
      </c>
      <c r="F488" s="2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s="2" t="s">
        <v>501</v>
      </c>
      <c r="D489" s="2" t="s">
        <v>13</v>
      </c>
      <c r="E489">
        <v>51</v>
      </c>
      <c r="F489" s="2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s="2" t="s">
        <v>502</v>
      </c>
      <c r="D490" s="2" t="s">
        <v>10</v>
      </c>
      <c r="E490">
        <v>44</v>
      </c>
      <c r="F490" s="2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s="2" t="s">
        <v>503</v>
      </c>
      <c r="D491" s="2" t="s">
        <v>10</v>
      </c>
      <c r="E491">
        <v>34</v>
      </c>
      <c r="F491" s="2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s="2" t="s">
        <v>504</v>
      </c>
      <c r="D492" s="2" t="s">
        <v>13</v>
      </c>
      <c r="E492">
        <v>60</v>
      </c>
      <c r="F492" s="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s="2" t="s">
        <v>505</v>
      </c>
      <c r="D493" s="2" t="s">
        <v>10</v>
      </c>
      <c r="E493">
        <v>61</v>
      </c>
      <c r="F493" s="2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s="2" t="s">
        <v>506</v>
      </c>
      <c r="D494" s="2" t="s">
        <v>10</v>
      </c>
      <c r="E494">
        <v>41</v>
      </c>
      <c r="F494" s="2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s="2" t="s">
        <v>507</v>
      </c>
      <c r="D495" s="2" t="s">
        <v>13</v>
      </c>
      <c r="E495">
        <v>42</v>
      </c>
      <c r="F495" s="2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s="2" t="s">
        <v>508</v>
      </c>
      <c r="D496" s="2" t="s">
        <v>10</v>
      </c>
      <c r="E496">
        <v>24</v>
      </c>
      <c r="F496" s="2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s="2" t="s">
        <v>509</v>
      </c>
      <c r="D497" s="2" t="s">
        <v>10</v>
      </c>
      <c r="E497">
        <v>23</v>
      </c>
      <c r="F497" s="2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s="2" t="s">
        <v>510</v>
      </c>
      <c r="D498" s="2" t="s">
        <v>10</v>
      </c>
      <c r="E498">
        <v>41</v>
      </c>
      <c r="F498" s="2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s="2" t="s">
        <v>511</v>
      </c>
      <c r="D499" s="2" t="s">
        <v>13</v>
      </c>
      <c r="E499">
        <v>50</v>
      </c>
      <c r="F499" s="2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s="2" t="s">
        <v>512</v>
      </c>
      <c r="D500" s="2" t="s">
        <v>10</v>
      </c>
      <c r="E500">
        <v>46</v>
      </c>
      <c r="F500" s="2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s="2" t="s">
        <v>513</v>
      </c>
      <c r="D501" s="2" t="s">
        <v>13</v>
      </c>
      <c r="E501">
        <v>60</v>
      </c>
      <c r="F501" s="2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s="2" t="s">
        <v>514</v>
      </c>
      <c r="D502" s="2" t="s">
        <v>10</v>
      </c>
      <c r="E502">
        <v>39</v>
      </c>
      <c r="F502" s="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s="2" t="s">
        <v>515</v>
      </c>
      <c r="D503" s="2" t="s">
        <v>10</v>
      </c>
      <c r="E503">
        <v>43</v>
      </c>
      <c r="F503" s="2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s="2" t="s">
        <v>516</v>
      </c>
      <c r="D504" s="2" t="s">
        <v>10</v>
      </c>
      <c r="E504">
        <v>45</v>
      </c>
      <c r="F504" s="2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s="2" t="s">
        <v>517</v>
      </c>
      <c r="D505" s="2" t="s">
        <v>13</v>
      </c>
      <c r="E505">
        <v>38</v>
      </c>
      <c r="F505" s="2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s="2" t="s">
        <v>518</v>
      </c>
      <c r="D506" s="2" t="s">
        <v>10</v>
      </c>
      <c r="E506">
        <v>24</v>
      </c>
      <c r="F506" s="2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s="2" t="s">
        <v>519</v>
      </c>
      <c r="D507" s="2" t="s">
        <v>10</v>
      </c>
      <c r="E507">
        <v>34</v>
      </c>
      <c r="F507" s="2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s="2" t="s">
        <v>520</v>
      </c>
      <c r="D508" s="2" t="s">
        <v>13</v>
      </c>
      <c r="E508">
        <v>37</v>
      </c>
      <c r="F508" s="2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s="2" t="s">
        <v>521</v>
      </c>
      <c r="D509" s="2" t="s">
        <v>10</v>
      </c>
      <c r="E509">
        <v>58</v>
      </c>
      <c r="F509" s="2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s="2" t="s">
        <v>522</v>
      </c>
      <c r="D510" s="2" t="s">
        <v>13</v>
      </c>
      <c r="E510">
        <v>37</v>
      </c>
      <c r="F510" s="2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s="2" t="s">
        <v>523</v>
      </c>
      <c r="D511" s="2" t="s">
        <v>13</v>
      </c>
      <c r="E511">
        <v>39</v>
      </c>
      <c r="F511" s="2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s="2" t="s">
        <v>524</v>
      </c>
      <c r="D512" s="2" t="s">
        <v>10</v>
      </c>
      <c r="E512">
        <v>45</v>
      </c>
      <c r="F512" s="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s="2" t="s">
        <v>525</v>
      </c>
      <c r="D513" s="2" t="s">
        <v>13</v>
      </c>
      <c r="E513">
        <v>57</v>
      </c>
      <c r="F513" s="2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s="2" t="s">
        <v>526</v>
      </c>
      <c r="D514" s="2" t="s">
        <v>10</v>
      </c>
      <c r="E514">
        <v>24</v>
      </c>
      <c r="F514" s="2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s="2" t="s">
        <v>527</v>
      </c>
      <c r="D515" s="2" t="s">
        <v>13</v>
      </c>
      <c r="E515">
        <v>18</v>
      </c>
      <c r="F515" s="2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s="2" t="s">
        <v>528</v>
      </c>
      <c r="D516" s="2" t="s">
        <v>13</v>
      </c>
      <c r="E516">
        <v>49</v>
      </c>
      <c r="F516" s="2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s="2" t="s">
        <v>529</v>
      </c>
      <c r="D517" s="2" t="s">
        <v>10</v>
      </c>
      <c r="E517">
        <v>30</v>
      </c>
      <c r="F517" s="2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s="2" t="s">
        <v>530</v>
      </c>
      <c r="D518" s="2" t="s">
        <v>13</v>
      </c>
      <c r="E518">
        <v>47</v>
      </c>
      <c r="F518" s="2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s="2" t="s">
        <v>531</v>
      </c>
      <c r="D519" s="2" t="s">
        <v>13</v>
      </c>
      <c r="E519">
        <v>40</v>
      </c>
      <c r="F519" s="2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s="2" t="s">
        <v>532</v>
      </c>
      <c r="D520" s="2" t="s">
        <v>13</v>
      </c>
      <c r="E520">
        <v>36</v>
      </c>
      <c r="F520" s="2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s="2" t="s">
        <v>533</v>
      </c>
      <c r="D521" s="2" t="s">
        <v>13</v>
      </c>
      <c r="E521">
        <v>49</v>
      </c>
      <c r="F521" s="2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s="2" t="s">
        <v>534</v>
      </c>
      <c r="D522" s="2" t="s">
        <v>13</v>
      </c>
      <c r="E522">
        <v>47</v>
      </c>
      <c r="F522" s="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s="2" t="s">
        <v>535</v>
      </c>
      <c r="D523" s="2" t="s">
        <v>10</v>
      </c>
      <c r="E523">
        <v>46</v>
      </c>
      <c r="F523" s="2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s="2" t="s">
        <v>536</v>
      </c>
      <c r="D524" s="2" t="s">
        <v>13</v>
      </c>
      <c r="E524">
        <v>62</v>
      </c>
      <c r="F524" s="2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s="2" t="s">
        <v>537</v>
      </c>
      <c r="D525" s="2" t="s">
        <v>10</v>
      </c>
      <c r="E525">
        <v>46</v>
      </c>
      <c r="F525" s="2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s="2" t="s">
        <v>538</v>
      </c>
      <c r="D526" s="2" t="s">
        <v>13</v>
      </c>
      <c r="E526">
        <v>47</v>
      </c>
      <c r="F526" s="2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s="2" t="s">
        <v>539</v>
      </c>
      <c r="D527" s="2" t="s">
        <v>10</v>
      </c>
      <c r="E527">
        <v>33</v>
      </c>
      <c r="F527" s="2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s="2" t="s">
        <v>540</v>
      </c>
      <c r="D528" s="2" t="s">
        <v>10</v>
      </c>
      <c r="E528">
        <v>57</v>
      </c>
      <c r="F528" s="2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s="2" t="s">
        <v>541</v>
      </c>
      <c r="D529" s="2" t="s">
        <v>13</v>
      </c>
      <c r="E529">
        <v>36</v>
      </c>
      <c r="F529" s="2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s="2" t="s">
        <v>542</v>
      </c>
      <c r="D530" s="2" t="s">
        <v>13</v>
      </c>
      <c r="E530">
        <v>35</v>
      </c>
      <c r="F530" s="2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s="2" t="s">
        <v>543</v>
      </c>
      <c r="D531" s="2" t="s">
        <v>13</v>
      </c>
      <c r="E531">
        <v>18</v>
      </c>
      <c r="F531" s="2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s="2" t="s">
        <v>544</v>
      </c>
      <c r="D532" s="2" t="s">
        <v>10</v>
      </c>
      <c r="E532">
        <v>31</v>
      </c>
      <c r="F532" s="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s="2" t="s">
        <v>545</v>
      </c>
      <c r="D533" s="2" t="s">
        <v>13</v>
      </c>
      <c r="E533">
        <v>64</v>
      </c>
      <c r="F533" s="2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s="2" t="s">
        <v>546</v>
      </c>
      <c r="D534" s="2" t="s">
        <v>10</v>
      </c>
      <c r="E534">
        <v>19</v>
      </c>
      <c r="F534" s="2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s="2" t="s">
        <v>547</v>
      </c>
      <c r="D535" s="2" t="s">
        <v>10</v>
      </c>
      <c r="E535">
        <v>45</v>
      </c>
      <c r="F535" s="2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s="2" t="s">
        <v>548</v>
      </c>
      <c r="D536" s="2" t="s">
        <v>10</v>
      </c>
      <c r="E536">
        <v>47</v>
      </c>
      <c r="F536" s="2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s="2" t="s">
        <v>549</v>
      </c>
      <c r="D537" s="2" t="s">
        <v>13</v>
      </c>
      <c r="E537">
        <v>55</v>
      </c>
      <c r="F537" s="2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s="2" t="s">
        <v>550</v>
      </c>
      <c r="D538" s="2" t="s">
        <v>13</v>
      </c>
      <c r="E538">
        <v>21</v>
      </c>
      <c r="F538" s="2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s="2" t="s">
        <v>551</v>
      </c>
      <c r="D539" s="2" t="s">
        <v>10</v>
      </c>
      <c r="E539">
        <v>18</v>
      </c>
      <c r="F539" s="2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s="2" t="s">
        <v>552</v>
      </c>
      <c r="D540" s="2" t="s">
        <v>10</v>
      </c>
      <c r="E540">
        <v>25</v>
      </c>
      <c r="F540" s="2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s="2" t="s">
        <v>553</v>
      </c>
      <c r="D541" s="2" t="s">
        <v>13</v>
      </c>
      <c r="E541">
        <v>46</v>
      </c>
      <c r="F541" s="2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s="2" t="s">
        <v>554</v>
      </c>
      <c r="D542" s="2" t="s">
        <v>10</v>
      </c>
      <c r="E542">
        <v>56</v>
      </c>
      <c r="F542" s="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s="2" t="s">
        <v>555</v>
      </c>
      <c r="D543" s="2" t="s">
        <v>13</v>
      </c>
      <c r="E543">
        <v>20</v>
      </c>
      <c r="F543" s="2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s="2" t="s">
        <v>556</v>
      </c>
      <c r="D544" s="2" t="s">
        <v>10</v>
      </c>
      <c r="E544">
        <v>49</v>
      </c>
      <c r="F544" s="2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s="2" t="s">
        <v>557</v>
      </c>
      <c r="D545" s="2" t="s">
        <v>13</v>
      </c>
      <c r="E545">
        <v>27</v>
      </c>
      <c r="F545" s="2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s="2" t="s">
        <v>558</v>
      </c>
      <c r="D546" s="2" t="s">
        <v>10</v>
      </c>
      <c r="E546">
        <v>27</v>
      </c>
      <c r="F546" s="2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s="2" t="s">
        <v>559</v>
      </c>
      <c r="D547" s="2" t="s">
        <v>13</v>
      </c>
      <c r="E547">
        <v>36</v>
      </c>
      <c r="F547" s="2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s="2" t="s">
        <v>560</v>
      </c>
      <c r="D548" s="2" t="s">
        <v>10</v>
      </c>
      <c r="E548">
        <v>63</v>
      </c>
      <c r="F548" s="2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s="2" t="s">
        <v>561</v>
      </c>
      <c r="D549" s="2" t="s">
        <v>13</v>
      </c>
      <c r="E549">
        <v>51</v>
      </c>
      <c r="F549" s="2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s="2" t="s">
        <v>562</v>
      </c>
      <c r="D550" s="2" t="s">
        <v>13</v>
      </c>
      <c r="E550">
        <v>50</v>
      </c>
      <c r="F550" s="2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s="2" t="s">
        <v>563</v>
      </c>
      <c r="D551" s="2" t="s">
        <v>10</v>
      </c>
      <c r="E551">
        <v>40</v>
      </c>
      <c r="F551" s="2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s="2" t="s">
        <v>564</v>
      </c>
      <c r="D552" s="2" t="s">
        <v>10</v>
      </c>
      <c r="E552">
        <v>45</v>
      </c>
      <c r="F552" s="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s="2" t="s">
        <v>565</v>
      </c>
      <c r="D553" s="2" t="s">
        <v>13</v>
      </c>
      <c r="E553">
        <v>49</v>
      </c>
      <c r="F553" s="2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s="2" t="s">
        <v>566</v>
      </c>
      <c r="D554" s="2" t="s">
        <v>10</v>
      </c>
      <c r="E554">
        <v>24</v>
      </c>
      <c r="F554" s="2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s="2" t="s">
        <v>567</v>
      </c>
      <c r="D555" s="2" t="s">
        <v>13</v>
      </c>
      <c r="E555">
        <v>46</v>
      </c>
      <c r="F555" s="2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s="2" t="s">
        <v>568</v>
      </c>
      <c r="D556" s="2" t="s">
        <v>10</v>
      </c>
      <c r="E556">
        <v>25</v>
      </c>
      <c r="F556" s="2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s="2" t="s">
        <v>569</v>
      </c>
      <c r="D557" s="2" t="s">
        <v>13</v>
      </c>
      <c r="E557">
        <v>18</v>
      </c>
      <c r="F557" s="2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s="2" t="s">
        <v>570</v>
      </c>
      <c r="D558" s="2" t="s">
        <v>13</v>
      </c>
      <c r="E558">
        <v>20</v>
      </c>
      <c r="F558" s="2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s="2" t="s">
        <v>571</v>
      </c>
      <c r="D559" s="2" t="s">
        <v>13</v>
      </c>
      <c r="E559">
        <v>41</v>
      </c>
      <c r="F559" s="2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s="2" t="s">
        <v>572</v>
      </c>
      <c r="D560" s="2" t="s">
        <v>13</v>
      </c>
      <c r="E560">
        <v>40</v>
      </c>
      <c r="F560" s="2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s="2" t="s">
        <v>573</v>
      </c>
      <c r="D561" s="2" t="s">
        <v>13</v>
      </c>
      <c r="E561">
        <v>25</v>
      </c>
      <c r="F561" s="2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s="2" t="s">
        <v>574</v>
      </c>
      <c r="D562" s="2" t="s">
        <v>13</v>
      </c>
      <c r="E562">
        <v>64</v>
      </c>
      <c r="F562" s="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s="2" t="s">
        <v>575</v>
      </c>
      <c r="D563" s="2" t="s">
        <v>10</v>
      </c>
      <c r="E563">
        <v>54</v>
      </c>
      <c r="F563" s="2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s="2" t="s">
        <v>576</v>
      </c>
      <c r="D564" s="2" t="s">
        <v>10</v>
      </c>
      <c r="E564">
        <v>20</v>
      </c>
      <c r="F564" s="2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s="2" t="s">
        <v>577</v>
      </c>
      <c r="D565" s="2" t="s">
        <v>10</v>
      </c>
      <c r="E565">
        <v>50</v>
      </c>
      <c r="F565" s="2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s="2" t="s">
        <v>578</v>
      </c>
      <c r="D566" s="2" t="s">
        <v>13</v>
      </c>
      <c r="E566">
        <v>45</v>
      </c>
      <c r="F566" s="2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s="2" t="s">
        <v>579</v>
      </c>
      <c r="D567" s="2" t="s">
        <v>13</v>
      </c>
      <c r="E567">
        <v>64</v>
      </c>
      <c r="F567" s="2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s="2" t="s">
        <v>580</v>
      </c>
      <c r="D568" s="2" t="s">
        <v>13</v>
      </c>
      <c r="E568">
        <v>25</v>
      </c>
      <c r="F568" s="2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s="2" t="s">
        <v>581</v>
      </c>
      <c r="D569" s="2" t="s">
        <v>13</v>
      </c>
      <c r="E569">
        <v>51</v>
      </c>
      <c r="F569" s="2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s="2" t="s">
        <v>582</v>
      </c>
      <c r="D570" s="2" t="s">
        <v>10</v>
      </c>
      <c r="E570">
        <v>52</v>
      </c>
      <c r="F570" s="2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s="2" t="s">
        <v>583</v>
      </c>
      <c r="D571" s="2" t="s">
        <v>10</v>
      </c>
      <c r="E571">
        <v>49</v>
      </c>
      <c r="F571" s="2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s="2" t="s">
        <v>584</v>
      </c>
      <c r="D572" s="2" t="s">
        <v>13</v>
      </c>
      <c r="E572">
        <v>41</v>
      </c>
      <c r="F572" s="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s="2" t="s">
        <v>585</v>
      </c>
      <c r="D573" s="2" t="s">
        <v>10</v>
      </c>
      <c r="E573">
        <v>31</v>
      </c>
      <c r="F573" s="2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s="2" t="s">
        <v>586</v>
      </c>
      <c r="D574" s="2" t="s">
        <v>10</v>
      </c>
      <c r="E574">
        <v>49</v>
      </c>
      <c r="F574" s="2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s="2" t="s">
        <v>587</v>
      </c>
      <c r="D575" s="2" t="s">
        <v>13</v>
      </c>
      <c r="E575">
        <v>63</v>
      </c>
      <c r="F575" s="2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s="2" t="s">
        <v>588</v>
      </c>
      <c r="D576" s="2" t="s">
        <v>10</v>
      </c>
      <c r="E576">
        <v>60</v>
      </c>
      <c r="F576" s="2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s="2" t="s">
        <v>589</v>
      </c>
      <c r="D577" s="2" t="s">
        <v>13</v>
      </c>
      <c r="E577">
        <v>33</v>
      </c>
      <c r="F577" s="2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s="2" t="s">
        <v>590</v>
      </c>
      <c r="D578" s="2" t="s">
        <v>10</v>
      </c>
      <c r="E578">
        <v>21</v>
      </c>
      <c r="F578" s="2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s="2" t="s">
        <v>591</v>
      </c>
      <c r="D579" s="2" t="s">
        <v>13</v>
      </c>
      <c r="E579">
        <v>54</v>
      </c>
      <c r="F579" s="2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s="2" t="s">
        <v>592</v>
      </c>
      <c r="D580" s="2" t="s">
        <v>13</v>
      </c>
      <c r="E580">
        <v>38</v>
      </c>
      <c r="F580" s="2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s="2" t="s">
        <v>593</v>
      </c>
      <c r="D581" s="2" t="s">
        <v>13</v>
      </c>
      <c r="E581">
        <v>31</v>
      </c>
      <c r="F581" s="2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s="2" t="s">
        <v>594</v>
      </c>
      <c r="D582" s="2" t="s">
        <v>13</v>
      </c>
      <c r="E582">
        <v>48</v>
      </c>
      <c r="F582" s="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s="2" t="s">
        <v>595</v>
      </c>
      <c r="D583" s="2" t="s">
        <v>10</v>
      </c>
      <c r="E583">
        <v>35</v>
      </c>
      <c r="F583" s="2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s="2" t="s">
        <v>596</v>
      </c>
      <c r="D584" s="2" t="s">
        <v>13</v>
      </c>
      <c r="E584">
        <v>24</v>
      </c>
      <c r="F584" s="2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s="2" t="s">
        <v>597</v>
      </c>
      <c r="D585" s="2" t="s">
        <v>13</v>
      </c>
      <c r="E585">
        <v>27</v>
      </c>
      <c r="F585" s="2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s="2" t="s">
        <v>598</v>
      </c>
      <c r="D586" s="2" t="s">
        <v>13</v>
      </c>
      <c r="E586">
        <v>24</v>
      </c>
      <c r="F586" s="2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s="2" t="s">
        <v>599</v>
      </c>
      <c r="D587" s="2" t="s">
        <v>10</v>
      </c>
      <c r="E587">
        <v>50</v>
      </c>
      <c r="F587" s="2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s="2" t="s">
        <v>600</v>
      </c>
      <c r="D588" s="2" t="s">
        <v>13</v>
      </c>
      <c r="E588">
        <v>40</v>
      </c>
      <c r="F588" s="2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s="2" t="s">
        <v>601</v>
      </c>
      <c r="D589" s="2" t="s">
        <v>10</v>
      </c>
      <c r="E589">
        <v>38</v>
      </c>
      <c r="F589" s="2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s="2" t="s">
        <v>602</v>
      </c>
      <c r="D590" s="2" t="s">
        <v>13</v>
      </c>
      <c r="E590">
        <v>36</v>
      </c>
      <c r="F590" s="2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s="2" t="s">
        <v>603</v>
      </c>
      <c r="D591" s="2" t="s">
        <v>10</v>
      </c>
      <c r="E591">
        <v>36</v>
      </c>
      <c r="F591" s="2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s="2" t="s">
        <v>604</v>
      </c>
      <c r="D592" s="2" t="s">
        <v>10</v>
      </c>
      <c r="E592">
        <v>53</v>
      </c>
      <c r="F592" s="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s="2" t="s">
        <v>605</v>
      </c>
      <c r="D593" s="2" t="s">
        <v>13</v>
      </c>
      <c r="E593">
        <v>46</v>
      </c>
      <c r="F593" s="2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s="2" t="s">
        <v>606</v>
      </c>
      <c r="D594" s="2" t="s">
        <v>10</v>
      </c>
      <c r="E594">
        <v>35</v>
      </c>
      <c r="F594" s="2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s="2" t="s">
        <v>607</v>
      </c>
      <c r="D595" s="2" t="s">
        <v>13</v>
      </c>
      <c r="E595">
        <v>19</v>
      </c>
      <c r="F595" s="2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s="2" t="s">
        <v>608</v>
      </c>
      <c r="D596" s="2" t="s">
        <v>13</v>
      </c>
      <c r="E596">
        <v>18</v>
      </c>
      <c r="F596" s="2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s="2" t="s">
        <v>609</v>
      </c>
      <c r="D597" s="2" t="s">
        <v>13</v>
      </c>
      <c r="E597">
        <v>64</v>
      </c>
      <c r="F597" s="2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s="2" t="s">
        <v>610</v>
      </c>
      <c r="D598" s="2" t="s">
        <v>10</v>
      </c>
      <c r="E598">
        <v>22</v>
      </c>
      <c r="F598" s="2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s="2" t="s">
        <v>611</v>
      </c>
      <c r="D599" s="2" t="s">
        <v>10</v>
      </c>
      <c r="E599">
        <v>37</v>
      </c>
      <c r="F599" s="2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s="2" t="s">
        <v>612</v>
      </c>
      <c r="D600" s="2" t="s">
        <v>13</v>
      </c>
      <c r="E600">
        <v>28</v>
      </c>
      <c r="F600" s="2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s="2" t="s">
        <v>613</v>
      </c>
      <c r="D601" s="2" t="s">
        <v>13</v>
      </c>
      <c r="E601">
        <v>59</v>
      </c>
      <c r="F601" s="2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s="2" t="s">
        <v>614</v>
      </c>
      <c r="D602" s="2" t="s">
        <v>10</v>
      </c>
      <c r="E602">
        <v>19</v>
      </c>
      <c r="F602" s="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s="2" t="s">
        <v>615</v>
      </c>
      <c r="D603" s="2" t="s">
        <v>13</v>
      </c>
      <c r="E603">
        <v>20</v>
      </c>
      <c r="F603" s="2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s="2" t="s">
        <v>616</v>
      </c>
      <c r="D604" s="2" t="s">
        <v>13</v>
      </c>
      <c r="E604">
        <v>40</v>
      </c>
      <c r="F604" s="2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s="2" t="s">
        <v>617</v>
      </c>
      <c r="D605" s="2" t="s">
        <v>13</v>
      </c>
      <c r="E605">
        <v>29</v>
      </c>
      <c r="F605" s="2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s="2" t="s">
        <v>618</v>
      </c>
      <c r="D606" s="2" t="s">
        <v>10</v>
      </c>
      <c r="E606">
        <v>37</v>
      </c>
      <c r="F606" s="2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s="2" t="s">
        <v>619</v>
      </c>
      <c r="D607" s="2" t="s">
        <v>10</v>
      </c>
      <c r="E607">
        <v>22</v>
      </c>
      <c r="F607" s="2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s="2" t="s">
        <v>620</v>
      </c>
      <c r="D608" s="2" t="s">
        <v>10</v>
      </c>
      <c r="E608">
        <v>54</v>
      </c>
      <c r="F608" s="2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s="2" t="s">
        <v>621</v>
      </c>
      <c r="D609" s="2" t="s">
        <v>13</v>
      </c>
      <c r="E609">
        <v>55</v>
      </c>
      <c r="F609" s="2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s="2" t="s">
        <v>622</v>
      </c>
      <c r="D610" s="2" t="s">
        <v>13</v>
      </c>
      <c r="E610">
        <v>47</v>
      </c>
      <c r="F610" s="2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s="2" t="s">
        <v>623</v>
      </c>
      <c r="D611" s="2" t="s">
        <v>13</v>
      </c>
      <c r="E611">
        <v>26</v>
      </c>
      <c r="F611" s="2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s="2" t="s">
        <v>624</v>
      </c>
      <c r="D612" s="2" t="s">
        <v>10</v>
      </c>
      <c r="E612">
        <v>51</v>
      </c>
      <c r="F612" s="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s="2" t="s">
        <v>625</v>
      </c>
      <c r="D613" s="2" t="s">
        <v>13</v>
      </c>
      <c r="E613">
        <v>61</v>
      </c>
      <c r="F613" s="2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s="2" t="s">
        <v>626</v>
      </c>
      <c r="D614" s="2" t="s">
        <v>13</v>
      </c>
      <c r="E614">
        <v>52</v>
      </c>
      <c r="F614" s="2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s="2" t="s">
        <v>627</v>
      </c>
      <c r="D615" s="2" t="s">
        <v>13</v>
      </c>
      <c r="E615">
        <v>39</v>
      </c>
      <c r="F615" s="2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s="2" t="s">
        <v>628</v>
      </c>
      <c r="D616" s="2" t="s">
        <v>13</v>
      </c>
      <c r="E616">
        <v>61</v>
      </c>
      <c r="F616" s="2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s="2" t="s">
        <v>629</v>
      </c>
      <c r="D617" s="2" t="s">
        <v>10</v>
      </c>
      <c r="E617">
        <v>41</v>
      </c>
      <c r="F617" s="2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s="2" t="s">
        <v>630</v>
      </c>
      <c r="D618" s="2" t="s">
        <v>10</v>
      </c>
      <c r="E618">
        <v>34</v>
      </c>
      <c r="F618" s="2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s="2" t="s">
        <v>631</v>
      </c>
      <c r="D619" s="2" t="s">
        <v>13</v>
      </c>
      <c r="E619">
        <v>27</v>
      </c>
      <c r="F619" s="2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s="2" t="s">
        <v>632</v>
      </c>
      <c r="D620" s="2" t="s">
        <v>10</v>
      </c>
      <c r="E620">
        <v>47</v>
      </c>
      <c r="F620" s="2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s="2" t="s">
        <v>633</v>
      </c>
      <c r="D621" s="2" t="s">
        <v>10</v>
      </c>
      <c r="E621">
        <v>63</v>
      </c>
      <c r="F621" s="2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s="2" t="s">
        <v>634</v>
      </c>
      <c r="D622" s="2" t="s">
        <v>13</v>
      </c>
      <c r="E622">
        <v>40</v>
      </c>
      <c r="F622" s="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s="2" t="s">
        <v>635</v>
      </c>
      <c r="D623" s="2" t="s">
        <v>13</v>
      </c>
      <c r="E623">
        <v>49</v>
      </c>
      <c r="F623" s="2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s="2" t="s">
        <v>636</v>
      </c>
      <c r="D624" s="2" t="s">
        <v>10</v>
      </c>
      <c r="E624">
        <v>34</v>
      </c>
      <c r="F624" s="2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s="2" t="s">
        <v>637</v>
      </c>
      <c r="D625" s="2" t="s">
        <v>13</v>
      </c>
      <c r="E625">
        <v>34</v>
      </c>
      <c r="F625" s="2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s="2" t="s">
        <v>638</v>
      </c>
      <c r="D626" s="2" t="s">
        <v>10</v>
      </c>
      <c r="E626">
        <v>31</v>
      </c>
      <c r="F626" s="2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s="2" t="s">
        <v>639</v>
      </c>
      <c r="D627" s="2" t="s">
        <v>13</v>
      </c>
      <c r="E627">
        <v>26</v>
      </c>
      <c r="F627" s="2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s="2" t="s">
        <v>640</v>
      </c>
      <c r="D628" s="2" t="s">
        <v>10</v>
      </c>
      <c r="E628">
        <v>57</v>
      </c>
      <c r="F628" s="2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s="2" t="s">
        <v>641</v>
      </c>
      <c r="D629" s="2" t="s">
        <v>13</v>
      </c>
      <c r="E629">
        <v>19</v>
      </c>
      <c r="F629" s="2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s="2" t="s">
        <v>642</v>
      </c>
      <c r="D630" s="2" t="s">
        <v>10</v>
      </c>
      <c r="E630">
        <v>62</v>
      </c>
      <c r="F630" s="2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s="2" t="s">
        <v>643</v>
      </c>
      <c r="D631" s="2" t="s">
        <v>10</v>
      </c>
      <c r="E631">
        <v>42</v>
      </c>
      <c r="F631" s="2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s="2" t="s">
        <v>644</v>
      </c>
      <c r="D632" s="2" t="s">
        <v>10</v>
      </c>
      <c r="E632">
        <v>56</v>
      </c>
      <c r="F632" s="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s="2" t="s">
        <v>645</v>
      </c>
      <c r="D633" s="2" t="s">
        <v>13</v>
      </c>
      <c r="E633">
        <v>26</v>
      </c>
      <c r="F633" s="2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s="2" t="s">
        <v>646</v>
      </c>
      <c r="D634" s="2" t="s">
        <v>10</v>
      </c>
      <c r="E634">
        <v>39</v>
      </c>
      <c r="F634" s="2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s="2" t="s">
        <v>647</v>
      </c>
      <c r="D635" s="2" t="s">
        <v>10</v>
      </c>
      <c r="E635">
        <v>60</v>
      </c>
      <c r="F635" s="2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s="2" t="s">
        <v>648</v>
      </c>
      <c r="D636" s="2" t="s">
        <v>13</v>
      </c>
      <c r="E636">
        <v>63</v>
      </c>
      <c r="F636" s="2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s="2" t="s">
        <v>649</v>
      </c>
      <c r="D637" s="2" t="s">
        <v>13</v>
      </c>
      <c r="E637">
        <v>21</v>
      </c>
      <c r="F637" s="2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s="2" t="s">
        <v>650</v>
      </c>
      <c r="D638" s="2" t="s">
        <v>10</v>
      </c>
      <c r="E638">
        <v>43</v>
      </c>
      <c r="F638" s="2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s="2" t="s">
        <v>651</v>
      </c>
      <c r="D639" s="2" t="s">
        <v>10</v>
      </c>
      <c r="E639">
        <v>46</v>
      </c>
      <c r="F639" s="2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s="2" t="s">
        <v>652</v>
      </c>
      <c r="D640" s="2" t="s">
        <v>13</v>
      </c>
      <c r="E640">
        <v>62</v>
      </c>
      <c r="F640" s="2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s="2" t="s">
        <v>653</v>
      </c>
      <c r="D641" s="2" t="s">
        <v>13</v>
      </c>
      <c r="E641">
        <v>51</v>
      </c>
      <c r="F641" s="2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s="2" t="s">
        <v>654</v>
      </c>
      <c r="D642" s="2" t="s">
        <v>13</v>
      </c>
      <c r="E642">
        <v>40</v>
      </c>
      <c r="F642" s="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s="2" t="s">
        <v>655</v>
      </c>
      <c r="D643" s="2" t="s">
        <v>13</v>
      </c>
      <c r="E643">
        <v>54</v>
      </c>
      <c r="F643" s="2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s="2" t="s">
        <v>656</v>
      </c>
      <c r="D644" s="2" t="s">
        <v>13</v>
      </c>
      <c r="E644">
        <v>28</v>
      </c>
      <c r="F644" s="2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s="2" t="s">
        <v>657</v>
      </c>
      <c r="D645" s="2" t="s">
        <v>10</v>
      </c>
      <c r="E645">
        <v>23</v>
      </c>
      <c r="F645" s="2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s="2" t="s">
        <v>658</v>
      </c>
      <c r="D646" s="2" t="s">
        <v>13</v>
      </c>
      <c r="E646">
        <v>35</v>
      </c>
      <c r="F646" s="2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s="2" t="s">
        <v>659</v>
      </c>
      <c r="D647" s="2" t="s">
        <v>10</v>
      </c>
      <c r="E647">
        <v>38</v>
      </c>
      <c r="F647" s="2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s="2" t="s">
        <v>660</v>
      </c>
      <c r="D648" s="2" t="s">
        <v>10</v>
      </c>
      <c r="E648">
        <v>59</v>
      </c>
      <c r="F648" s="2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s="2" t="s">
        <v>661</v>
      </c>
      <c r="D649" s="2" t="s">
        <v>10</v>
      </c>
      <c r="E649">
        <v>53</v>
      </c>
      <c r="F649" s="2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s="2" t="s">
        <v>662</v>
      </c>
      <c r="D650" s="2" t="s">
        <v>13</v>
      </c>
      <c r="E650">
        <v>58</v>
      </c>
      <c r="F650" s="2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s="2" t="s">
        <v>663</v>
      </c>
      <c r="D651" s="2" t="s">
        <v>10</v>
      </c>
      <c r="E651">
        <v>55</v>
      </c>
      <c r="F651" s="2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s="2" t="s">
        <v>664</v>
      </c>
      <c r="D652" s="2" t="s">
        <v>10</v>
      </c>
      <c r="E652">
        <v>51</v>
      </c>
      <c r="F652" s="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s="2" t="s">
        <v>665</v>
      </c>
      <c r="D653" s="2" t="s">
        <v>13</v>
      </c>
      <c r="E653">
        <v>34</v>
      </c>
      <c r="F653" s="2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s="2" t="s">
        <v>666</v>
      </c>
      <c r="D654" s="2" t="s">
        <v>10</v>
      </c>
      <c r="E654">
        <v>54</v>
      </c>
      <c r="F654" s="2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s="2" t="s">
        <v>667</v>
      </c>
      <c r="D655" s="2" t="s">
        <v>10</v>
      </c>
      <c r="E655">
        <v>42</v>
      </c>
      <c r="F655" s="2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s="2" t="s">
        <v>668</v>
      </c>
      <c r="D656" s="2" t="s">
        <v>13</v>
      </c>
      <c r="E656">
        <v>55</v>
      </c>
      <c r="F656" s="2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s="2" t="s">
        <v>669</v>
      </c>
      <c r="D657" s="2" t="s">
        <v>10</v>
      </c>
      <c r="E657">
        <v>29</v>
      </c>
      <c r="F657" s="2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s="2" t="s">
        <v>670</v>
      </c>
      <c r="D658" s="2" t="s">
        <v>10</v>
      </c>
      <c r="E658">
        <v>40</v>
      </c>
      <c r="F658" s="2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s="2" t="s">
        <v>671</v>
      </c>
      <c r="D659" s="2" t="s">
        <v>10</v>
      </c>
      <c r="E659">
        <v>59</v>
      </c>
      <c r="F659" s="2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s="2" t="s">
        <v>672</v>
      </c>
      <c r="D660" s="2" t="s">
        <v>13</v>
      </c>
      <c r="E660">
        <v>39</v>
      </c>
      <c r="F660" s="2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s="2" t="s">
        <v>673</v>
      </c>
      <c r="D661" s="2" t="s">
        <v>13</v>
      </c>
      <c r="E661">
        <v>38</v>
      </c>
      <c r="F661" s="2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s="2" t="s">
        <v>674</v>
      </c>
      <c r="D662" s="2" t="s">
        <v>13</v>
      </c>
      <c r="E662">
        <v>44</v>
      </c>
      <c r="F662" s="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s="2" t="s">
        <v>675</v>
      </c>
      <c r="D663" s="2" t="s">
        <v>10</v>
      </c>
      <c r="E663">
        <v>48</v>
      </c>
      <c r="F663" s="2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s="2" t="s">
        <v>676</v>
      </c>
      <c r="D664" s="2" t="s">
        <v>10</v>
      </c>
      <c r="E664">
        <v>23</v>
      </c>
      <c r="F664" s="2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s="2" t="s">
        <v>677</v>
      </c>
      <c r="D665" s="2" t="s">
        <v>13</v>
      </c>
      <c r="E665">
        <v>44</v>
      </c>
      <c r="F665" s="2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s="2" t="s">
        <v>678</v>
      </c>
      <c r="D666" s="2" t="s">
        <v>10</v>
      </c>
      <c r="E666">
        <v>57</v>
      </c>
      <c r="F666" s="2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s="2" t="s">
        <v>679</v>
      </c>
      <c r="D667" s="2" t="s">
        <v>10</v>
      </c>
      <c r="E667">
        <v>51</v>
      </c>
      <c r="F667" s="2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s="2" t="s">
        <v>680</v>
      </c>
      <c r="D668" s="2" t="s">
        <v>13</v>
      </c>
      <c r="E668">
        <v>29</v>
      </c>
      <c r="F668" s="2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s="2" t="s">
        <v>681</v>
      </c>
      <c r="D669" s="2" t="s">
        <v>13</v>
      </c>
      <c r="E669">
        <v>62</v>
      </c>
      <c r="F669" s="2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s="2" t="s">
        <v>682</v>
      </c>
      <c r="D670" s="2" t="s">
        <v>10</v>
      </c>
      <c r="E670">
        <v>24</v>
      </c>
      <c r="F670" s="2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s="2" t="s">
        <v>683</v>
      </c>
      <c r="D671" s="2" t="s">
        <v>10</v>
      </c>
      <c r="E671">
        <v>27</v>
      </c>
      <c r="F671" s="2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s="2" t="s">
        <v>684</v>
      </c>
      <c r="D672" s="2" t="s">
        <v>10</v>
      </c>
      <c r="E672">
        <v>62</v>
      </c>
      <c r="F672" s="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s="2" t="s">
        <v>685</v>
      </c>
      <c r="D673" s="2" t="s">
        <v>13</v>
      </c>
      <c r="E673">
        <v>34</v>
      </c>
      <c r="F673" s="2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s="2" t="s">
        <v>686</v>
      </c>
      <c r="D674" s="2" t="s">
        <v>13</v>
      </c>
      <c r="E674">
        <v>43</v>
      </c>
      <c r="F674" s="2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s="2" t="s">
        <v>687</v>
      </c>
      <c r="D675" s="2" t="s">
        <v>13</v>
      </c>
      <c r="E675">
        <v>38</v>
      </c>
      <c r="F675" s="2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s="2" t="s">
        <v>688</v>
      </c>
      <c r="D676" s="2" t="s">
        <v>13</v>
      </c>
      <c r="E676">
        <v>45</v>
      </c>
      <c r="F676" s="2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s="2" t="s">
        <v>689</v>
      </c>
      <c r="D677" s="2" t="s">
        <v>10</v>
      </c>
      <c r="E677">
        <v>63</v>
      </c>
      <c r="F677" s="2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s="2" t="s">
        <v>690</v>
      </c>
      <c r="D678" s="2" t="s">
        <v>13</v>
      </c>
      <c r="E678">
        <v>19</v>
      </c>
      <c r="F678" s="2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s="2" t="s">
        <v>691</v>
      </c>
      <c r="D679" s="2" t="s">
        <v>13</v>
      </c>
      <c r="E679">
        <v>60</v>
      </c>
      <c r="F679" s="2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s="2" t="s">
        <v>692</v>
      </c>
      <c r="D680" s="2" t="s">
        <v>13</v>
      </c>
      <c r="E680">
        <v>18</v>
      </c>
      <c r="F680" s="2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s="2" t="s">
        <v>693</v>
      </c>
      <c r="D681" s="2" t="s">
        <v>13</v>
      </c>
      <c r="E681">
        <v>53</v>
      </c>
      <c r="F681" s="2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s="2" t="s">
        <v>694</v>
      </c>
      <c r="D682" s="2" t="s">
        <v>13</v>
      </c>
      <c r="E682">
        <v>43</v>
      </c>
      <c r="F682" s="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s="2" t="s">
        <v>695</v>
      </c>
      <c r="D683" s="2" t="s">
        <v>10</v>
      </c>
      <c r="E683">
        <v>46</v>
      </c>
      <c r="F683" s="2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s="2" t="s">
        <v>696</v>
      </c>
      <c r="D684" s="2" t="s">
        <v>10</v>
      </c>
      <c r="E684">
        <v>38</v>
      </c>
      <c r="F684" s="2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s="2" t="s">
        <v>697</v>
      </c>
      <c r="D685" s="2" t="s">
        <v>13</v>
      </c>
      <c r="E685">
        <v>28</v>
      </c>
      <c r="F685" s="2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s="2" t="s">
        <v>698</v>
      </c>
      <c r="D686" s="2" t="s">
        <v>10</v>
      </c>
      <c r="E686">
        <v>57</v>
      </c>
      <c r="F686" s="2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s="2" t="s">
        <v>699</v>
      </c>
      <c r="D687" s="2" t="s">
        <v>13</v>
      </c>
      <c r="E687">
        <v>28</v>
      </c>
      <c r="F687" s="2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s="2" t="s">
        <v>700</v>
      </c>
      <c r="D688" s="2" t="s">
        <v>13</v>
      </c>
      <c r="E688">
        <v>53</v>
      </c>
      <c r="F688" s="2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s="2" t="s">
        <v>701</v>
      </c>
      <c r="D689" s="2" t="s">
        <v>10</v>
      </c>
      <c r="E689">
        <v>56</v>
      </c>
      <c r="F689" s="2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s="2" t="s">
        <v>702</v>
      </c>
      <c r="D690" s="2" t="s">
        <v>10</v>
      </c>
      <c r="E690">
        <v>57</v>
      </c>
      <c r="F690" s="2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s="2" t="s">
        <v>703</v>
      </c>
      <c r="D691" s="2" t="s">
        <v>13</v>
      </c>
      <c r="E691">
        <v>52</v>
      </c>
      <c r="F691" s="2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s="2" t="s">
        <v>704</v>
      </c>
      <c r="D692" s="2" t="s">
        <v>13</v>
      </c>
      <c r="E692">
        <v>51</v>
      </c>
      <c r="F692" s="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s="2" t="s">
        <v>705</v>
      </c>
      <c r="D693" s="2" t="s">
        <v>13</v>
      </c>
      <c r="E693">
        <v>64</v>
      </c>
      <c r="F693" s="2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s="2" t="s">
        <v>706</v>
      </c>
      <c r="D694" s="2" t="s">
        <v>10</v>
      </c>
      <c r="E694">
        <v>41</v>
      </c>
      <c r="F694" s="2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s="2" t="s">
        <v>707</v>
      </c>
      <c r="D695" s="2" t="s">
        <v>13</v>
      </c>
      <c r="E695">
        <v>39</v>
      </c>
      <c r="F695" s="2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s="2" t="s">
        <v>708</v>
      </c>
      <c r="D696" s="2" t="s">
        <v>13</v>
      </c>
      <c r="E696">
        <v>22</v>
      </c>
      <c r="F696" s="2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s="2" t="s">
        <v>709</v>
      </c>
      <c r="D697" s="2" t="s">
        <v>13</v>
      </c>
      <c r="E697">
        <v>50</v>
      </c>
      <c r="F697" s="2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s="2" t="s">
        <v>710</v>
      </c>
      <c r="D698" s="2" t="s">
        <v>10</v>
      </c>
      <c r="E698">
        <v>53</v>
      </c>
      <c r="F698" s="2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s="2" t="s">
        <v>711</v>
      </c>
      <c r="D699" s="2" t="s">
        <v>13</v>
      </c>
      <c r="E699">
        <v>64</v>
      </c>
      <c r="F699" s="2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s="2" t="s">
        <v>712</v>
      </c>
      <c r="D700" s="2" t="s">
        <v>13</v>
      </c>
      <c r="E700">
        <v>37</v>
      </c>
      <c r="F700" s="2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s="2" t="s">
        <v>713</v>
      </c>
      <c r="D701" s="2" t="s">
        <v>10</v>
      </c>
      <c r="E701">
        <v>36</v>
      </c>
      <c r="F701" s="2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s="2" t="s">
        <v>714</v>
      </c>
      <c r="D702" s="2" t="s">
        <v>13</v>
      </c>
      <c r="E702">
        <v>52</v>
      </c>
      <c r="F702" s="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s="2" t="s">
        <v>715</v>
      </c>
      <c r="D703" s="2" t="s">
        <v>13</v>
      </c>
      <c r="E703">
        <v>60</v>
      </c>
      <c r="F703" s="2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s="2" t="s">
        <v>716</v>
      </c>
      <c r="D704" s="2" t="s">
        <v>10</v>
      </c>
      <c r="E704">
        <v>34</v>
      </c>
      <c r="F704" s="2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s="2" t="s">
        <v>717</v>
      </c>
      <c r="D705" s="2" t="s">
        <v>13</v>
      </c>
      <c r="E705">
        <v>62</v>
      </c>
      <c r="F705" s="2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s="2" t="s">
        <v>718</v>
      </c>
      <c r="D706" s="2" t="s">
        <v>10</v>
      </c>
      <c r="E706">
        <v>60</v>
      </c>
      <c r="F706" s="2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s="2" t="s">
        <v>719</v>
      </c>
      <c r="D707" s="2" t="s">
        <v>10</v>
      </c>
      <c r="E707">
        <v>51</v>
      </c>
      <c r="F707" s="2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s="2" t="s">
        <v>720</v>
      </c>
      <c r="D708" s="2" t="s">
        <v>13</v>
      </c>
      <c r="E708">
        <v>26</v>
      </c>
      <c r="F708" s="2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s="2" t="s">
        <v>721</v>
      </c>
      <c r="D709" s="2" t="s">
        <v>13</v>
      </c>
      <c r="E709">
        <v>43</v>
      </c>
      <c r="F709" s="2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s="2" t="s">
        <v>722</v>
      </c>
      <c r="D710" s="2" t="s">
        <v>13</v>
      </c>
      <c r="E710">
        <v>19</v>
      </c>
      <c r="F710" s="2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s="2" t="s">
        <v>723</v>
      </c>
      <c r="D711" s="2" t="s">
        <v>13</v>
      </c>
      <c r="E711">
        <v>26</v>
      </c>
      <c r="F711" s="2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s="2" t="s">
        <v>724</v>
      </c>
      <c r="D712" s="2" t="s">
        <v>10</v>
      </c>
      <c r="E712">
        <v>26</v>
      </c>
      <c r="F712" s="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s="2" t="s">
        <v>725</v>
      </c>
      <c r="D713" s="2" t="s">
        <v>13</v>
      </c>
      <c r="E713">
        <v>57</v>
      </c>
      <c r="F713" s="2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s="2" t="s">
        <v>726</v>
      </c>
      <c r="D714" s="2" t="s">
        <v>10</v>
      </c>
      <c r="E714">
        <v>34</v>
      </c>
      <c r="F714" s="2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s="2" t="s">
        <v>727</v>
      </c>
      <c r="D715" s="2" t="s">
        <v>13</v>
      </c>
      <c r="E715">
        <v>18</v>
      </c>
      <c r="F715" s="2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s="2" t="s">
        <v>728</v>
      </c>
      <c r="D716" s="2" t="s">
        <v>13</v>
      </c>
      <c r="E716">
        <v>42</v>
      </c>
      <c r="F716" s="2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s="2" t="s">
        <v>729</v>
      </c>
      <c r="D717" s="2" t="s">
        <v>13</v>
      </c>
      <c r="E717">
        <v>60</v>
      </c>
      <c r="F717" s="2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s="2" t="s">
        <v>730</v>
      </c>
      <c r="D718" s="2" t="s">
        <v>10</v>
      </c>
      <c r="E718">
        <v>57</v>
      </c>
      <c r="F718" s="2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s="2" t="s">
        <v>731</v>
      </c>
      <c r="D719" s="2" t="s">
        <v>13</v>
      </c>
      <c r="E719">
        <v>59</v>
      </c>
      <c r="F719" s="2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s="2" t="s">
        <v>732</v>
      </c>
      <c r="D720" s="2" t="s">
        <v>13</v>
      </c>
      <c r="E720">
        <v>42</v>
      </c>
      <c r="F720" s="2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s="2" t="s">
        <v>733</v>
      </c>
      <c r="D721" s="2" t="s">
        <v>13</v>
      </c>
      <c r="E721">
        <v>56</v>
      </c>
      <c r="F721" s="2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s="2" t="s">
        <v>734</v>
      </c>
      <c r="D722" s="2" t="s">
        <v>13</v>
      </c>
      <c r="E722">
        <v>52</v>
      </c>
      <c r="F722" s="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s="2" t="s">
        <v>735</v>
      </c>
      <c r="D723" s="2" t="s">
        <v>10</v>
      </c>
      <c r="E723">
        <v>20</v>
      </c>
      <c r="F723" s="2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s="2" t="s">
        <v>736</v>
      </c>
      <c r="D724" s="2" t="s">
        <v>13</v>
      </c>
      <c r="E724">
        <v>54</v>
      </c>
      <c r="F724" s="2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s="2" t="s">
        <v>737</v>
      </c>
      <c r="D725" s="2" t="s">
        <v>10</v>
      </c>
      <c r="E725">
        <v>61</v>
      </c>
      <c r="F725" s="2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s="2" t="s">
        <v>738</v>
      </c>
      <c r="D726" s="2" t="s">
        <v>10</v>
      </c>
      <c r="E726">
        <v>61</v>
      </c>
      <c r="F726" s="2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s="2" t="s">
        <v>739</v>
      </c>
      <c r="D727" s="2" t="s">
        <v>10</v>
      </c>
      <c r="E727">
        <v>47</v>
      </c>
      <c r="F727" s="2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s="2" t="s">
        <v>740</v>
      </c>
      <c r="D728" s="2" t="s">
        <v>10</v>
      </c>
      <c r="E728">
        <v>55</v>
      </c>
      <c r="F728" s="2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s="2" t="s">
        <v>741</v>
      </c>
      <c r="D729" s="2" t="s">
        <v>10</v>
      </c>
      <c r="E729">
        <v>51</v>
      </c>
      <c r="F729" s="2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s="2" t="s">
        <v>742</v>
      </c>
      <c r="D730" s="2" t="s">
        <v>10</v>
      </c>
      <c r="E730">
        <v>29</v>
      </c>
      <c r="F730" s="2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s="2" t="s">
        <v>743</v>
      </c>
      <c r="D731" s="2" t="s">
        <v>13</v>
      </c>
      <c r="E731">
        <v>36</v>
      </c>
      <c r="F731" s="2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s="2" t="s">
        <v>744</v>
      </c>
      <c r="D732" s="2" t="s">
        <v>10</v>
      </c>
      <c r="E732">
        <v>54</v>
      </c>
      <c r="F732" s="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s="2" t="s">
        <v>745</v>
      </c>
      <c r="D733" s="2" t="s">
        <v>10</v>
      </c>
      <c r="E733">
        <v>61</v>
      </c>
      <c r="F733" s="2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s="2" t="s">
        <v>746</v>
      </c>
      <c r="D734" s="2" t="s">
        <v>10</v>
      </c>
      <c r="E734">
        <v>34</v>
      </c>
      <c r="F734" s="2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s="2" t="s">
        <v>747</v>
      </c>
      <c r="D735" s="2" t="s">
        <v>13</v>
      </c>
      <c r="E735">
        <v>27</v>
      </c>
      <c r="F735" s="2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s="2" t="s">
        <v>748</v>
      </c>
      <c r="D736" s="2" t="s">
        <v>13</v>
      </c>
      <c r="E736">
        <v>64</v>
      </c>
      <c r="F736" s="2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s="2" t="s">
        <v>749</v>
      </c>
      <c r="D737" s="2" t="s">
        <v>10</v>
      </c>
      <c r="E737">
        <v>29</v>
      </c>
      <c r="F737" s="2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s="2" t="s">
        <v>750</v>
      </c>
      <c r="D738" s="2" t="s">
        <v>13</v>
      </c>
      <c r="E738">
        <v>33</v>
      </c>
      <c r="F738" s="2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s="2" t="s">
        <v>751</v>
      </c>
      <c r="D739" s="2" t="s">
        <v>10</v>
      </c>
      <c r="E739">
        <v>41</v>
      </c>
      <c r="F739" s="2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s="2" t="s">
        <v>752</v>
      </c>
      <c r="D740" s="2" t="s">
        <v>10</v>
      </c>
      <c r="E740">
        <v>36</v>
      </c>
      <c r="F740" s="2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s="2" t="s">
        <v>753</v>
      </c>
      <c r="D741" s="2" t="s">
        <v>13</v>
      </c>
      <c r="E741">
        <v>25</v>
      </c>
      <c r="F741" s="2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s="2" t="s">
        <v>754</v>
      </c>
      <c r="D742" s="2" t="s">
        <v>10</v>
      </c>
      <c r="E742">
        <v>48</v>
      </c>
      <c r="F742" s="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s="2" t="s">
        <v>755</v>
      </c>
      <c r="D743" s="2" t="s">
        <v>13</v>
      </c>
      <c r="E743">
        <v>38</v>
      </c>
      <c r="F743" s="2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s="2" t="s">
        <v>756</v>
      </c>
      <c r="D744" s="2" t="s">
        <v>13</v>
      </c>
      <c r="E744">
        <v>34</v>
      </c>
      <c r="F744" s="2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s="2" t="s">
        <v>757</v>
      </c>
      <c r="D745" s="2" t="s">
        <v>10</v>
      </c>
      <c r="E745">
        <v>40</v>
      </c>
      <c r="F745" s="2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s="2" t="s">
        <v>758</v>
      </c>
      <c r="D746" s="2" t="s">
        <v>10</v>
      </c>
      <c r="E746">
        <v>54</v>
      </c>
      <c r="F746" s="2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s="2" t="s">
        <v>759</v>
      </c>
      <c r="D747" s="2" t="s">
        <v>13</v>
      </c>
      <c r="E747">
        <v>33</v>
      </c>
      <c r="F747" s="2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s="2" t="s">
        <v>760</v>
      </c>
      <c r="D748" s="2" t="s">
        <v>10</v>
      </c>
      <c r="E748">
        <v>23</v>
      </c>
      <c r="F748" s="2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s="2" t="s">
        <v>761</v>
      </c>
      <c r="D749" s="2" t="s">
        <v>10</v>
      </c>
      <c r="E749">
        <v>25</v>
      </c>
      <c r="F749" s="2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s="2" t="s">
        <v>762</v>
      </c>
      <c r="D750" s="2" t="s">
        <v>10</v>
      </c>
      <c r="E750">
        <v>42</v>
      </c>
      <c r="F750" s="2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s="2" t="s">
        <v>763</v>
      </c>
      <c r="D751" s="2" t="s">
        <v>13</v>
      </c>
      <c r="E751">
        <v>35</v>
      </c>
      <c r="F751" s="2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s="2" t="s">
        <v>764</v>
      </c>
      <c r="D752" s="2" t="s">
        <v>13</v>
      </c>
      <c r="E752">
        <v>42</v>
      </c>
      <c r="F752" s="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s="2" t="s">
        <v>765</v>
      </c>
      <c r="D753" s="2" t="s">
        <v>10</v>
      </c>
      <c r="E753">
        <v>29</v>
      </c>
      <c r="F753" s="2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s="2" t="s">
        <v>766</v>
      </c>
      <c r="D754" s="2" t="s">
        <v>13</v>
      </c>
      <c r="E754">
        <v>32</v>
      </c>
      <c r="F754" s="2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s="2" t="s">
        <v>767</v>
      </c>
      <c r="D755" s="2" t="s">
        <v>13</v>
      </c>
      <c r="E755">
        <v>43</v>
      </c>
      <c r="F755" s="2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s="2" t="s">
        <v>768</v>
      </c>
      <c r="D756" s="2" t="s">
        <v>13</v>
      </c>
      <c r="E756">
        <v>58</v>
      </c>
      <c r="F756" s="2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s="2" t="s">
        <v>769</v>
      </c>
      <c r="D757" s="2" t="s">
        <v>13</v>
      </c>
      <c r="E757">
        <v>62</v>
      </c>
      <c r="F757" s="2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s="2" t="s">
        <v>770</v>
      </c>
      <c r="D758" s="2" t="s">
        <v>13</v>
      </c>
      <c r="E758">
        <v>43</v>
      </c>
      <c r="F758" s="2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s="2" t="s">
        <v>771</v>
      </c>
      <c r="D759" s="2" t="s">
        <v>10</v>
      </c>
      <c r="E759">
        <v>64</v>
      </c>
      <c r="F759" s="2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s="2" t="s">
        <v>772</v>
      </c>
      <c r="D760" s="2" t="s">
        <v>10</v>
      </c>
      <c r="E760">
        <v>49</v>
      </c>
      <c r="F760" s="2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s="2" t="s">
        <v>773</v>
      </c>
      <c r="D761" s="2" t="s">
        <v>10</v>
      </c>
      <c r="E761">
        <v>27</v>
      </c>
      <c r="F761" s="2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s="2" t="s">
        <v>774</v>
      </c>
      <c r="D762" s="2" t="s">
        <v>13</v>
      </c>
      <c r="E762">
        <v>33</v>
      </c>
      <c r="F762" s="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s="2" t="s">
        <v>775</v>
      </c>
      <c r="D763" s="2" t="s">
        <v>13</v>
      </c>
      <c r="E763">
        <v>24</v>
      </c>
      <c r="F763" s="2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s="2" t="s">
        <v>776</v>
      </c>
      <c r="D764" s="2" t="s">
        <v>10</v>
      </c>
      <c r="E764">
        <v>34</v>
      </c>
      <c r="F764" s="2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s="2" t="s">
        <v>777</v>
      </c>
      <c r="D765" s="2" t="s">
        <v>13</v>
      </c>
      <c r="E765">
        <v>40</v>
      </c>
      <c r="F765" s="2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s="2" t="s">
        <v>778</v>
      </c>
      <c r="D766" s="2" t="s">
        <v>10</v>
      </c>
      <c r="E766">
        <v>43</v>
      </c>
      <c r="F766" s="2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s="2" t="s">
        <v>779</v>
      </c>
      <c r="D767" s="2" t="s">
        <v>10</v>
      </c>
      <c r="E767">
        <v>38</v>
      </c>
      <c r="F767" s="2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s="2" t="s">
        <v>780</v>
      </c>
      <c r="D768" s="2" t="s">
        <v>10</v>
      </c>
      <c r="E768">
        <v>39</v>
      </c>
      <c r="F768" s="2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s="2" t="s">
        <v>781</v>
      </c>
      <c r="D769" s="2" t="s">
        <v>13</v>
      </c>
      <c r="E769">
        <v>24</v>
      </c>
      <c r="F769" s="2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s="2" t="s">
        <v>782</v>
      </c>
      <c r="D770" s="2" t="s">
        <v>13</v>
      </c>
      <c r="E770">
        <v>31</v>
      </c>
      <c r="F770" s="2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s="2" t="s">
        <v>783</v>
      </c>
      <c r="D771" s="2" t="s">
        <v>10</v>
      </c>
      <c r="E771">
        <v>32</v>
      </c>
      <c r="F771" s="2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s="2" t="s">
        <v>784</v>
      </c>
      <c r="D772" s="2" t="s">
        <v>10</v>
      </c>
      <c r="E772">
        <v>24</v>
      </c>
      <c r="F772" s="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s="2" t="s">
        <v>785</v>
      </c>
      <c r="D773" s="2" t="s">
        <v>10</v>
      </c>
      <c r="E773">
        <v>26</v>
      </c>
      <c r="F773" s="2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s="2" t="s">
        <v>786</v>
      </c>
      <c r="D774" s="2" t="s">
        <v>10</v>
      </c>
      <c r="E774">
        <v>25</v>
      </c>
      <c r="F774" s="2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s="2" t="s">
        <v>787</v>
      </c>
      <c r="D775" s="2" t="s">
        <v>13</v>
      </c>
      <c r="E775">
        <v>40</v>
      </c>
      <c r="F775" s="2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s="2" t="s">
        <v>788</v>
      </c>
      <c r="D776" s="2" t="s">
        <v>13</v>
      </c>
      <c r="E776">
        <v>46</v>
      </c>
      <c r="F776" s="2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s="2" t="s">
        <v>789</v>
      </c>
      <c r="D777" s="2" t="s">
        <v>10</v>
      </c>
      <c r="E777">
        <v>35</v>
      </c>
      <c r="F777" s="2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s="2" t="s">
        <v>790</v>
      </c>
      <c r="D778" s="2" t="s">
        <v>10</v>
      </c>
      <c r="E778">
        <v>48</v>
      </c>
      <c r="F778" s="2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s="2" t="s">
        <v>791</v>
      </c>
      <c r="D779" s="2" t="s">
        <v>13</v>
      </c>
      <c r="E779">
        <v>47</v>
      </c>
      <c r="F779" s="2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s="2" t="s">
        <v>792</v>
      </c>
      <c r="D780" s="2" t="s">
        <v>13</v>
      </c>
      <c r="E780">
        <v>56</v>
      </c>
      <c r="F780" s="2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s="2" t="s">
        <v>793</v>
      </c>
      <c r="D781" s="2" t="s">
        <v>10</v>
      </c>
      <c r="E781">
        <v>52</v>
      </c>
      <c r="F781" s="2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s="2" t="s">
        <v>794</v>
      </c>
      <c r="D782" s="2" t="s">
        <v>10</v>
      </c>
      <c r="E782">
        <v>35</v>
      </c>
      <c r="F782" s="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s="2" t="s">
        <v>795</v>
      </c>
      <c r="D783" s="2" t="s">
        <v>10</v>
      </c>
      <c r="E783">
        <v>59</v>
      </c>
      <c r="F783" s="2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s="2" t="s">
        <v>796</v>
      </c>
      <c r="D784" s="2" t="s">
        <v>13</v>
      </c>
      <c r="E784">
        <v>56</v>
      </c>
      <c r="F784" s="2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s="2" t="s">
        <v>797</v>
      </c>
      <c r="D785" s="2" t="s">
        <v>13</v>
      </c>
      <c r="E785">
        <v>34</v>
      </c>
      <c r="F785" s="2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s="2" t="s">
        <v>798</v>
      </c>
      <c r="D786" s="2" t="s">
        <v>13</v>
      </c>
      <c r="E786">
        <v>31</v>
      </c>
      <c r="F786" s="2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s="2" t="s">
        <v>799</v>
      </c>
      <c r="D787" s="2" t="s">
        <v>10</v>
      </c>
      <c r="E787">
        <v>48</v>
      </c>
      <c r="F787" s="2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s="2" t="s">
        <v>800</v>
      </c>
      <c r="D788" s="2" t="s">
        <v>10</v>
      </c>
      <c r="E788">
        <v>41</v>
      </c>
      <c r="F788" s="2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s="2" t="s">
        <v>801</v>
      </c>
      <c r="D789" s="2" t="s">
        <v>13</v>
      </c>
      <c r="E789">
        <v>52</v>
      </c>
      <c r="F789" s="2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s="2" t="s">
        <v>802</v>
      </c>
      <c r="D790" s="2" t="s">
        <v>13</v>
      </c>
      <c r="E790">
        <v>61</v>
      </c>
      <c r="F790" s="2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s="2" t="s">
        <v>803</v>
      </c>
      <c r="D791" s="2" t="s">
        <v>10</v>
      </c>
      <c r="E791">
        <v>62</v>
      </c>
      <c r="F791" s="2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s="2" t="s">
        <v>804</v>
      </c>
      <c r="D792" s="2" t="s">
        <v>13</v>
      </c>
      <c r="E792">
        <v>51</v>
      </c>
      <c r="F792" s="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s="2" t="s">
        <v>805</v>
      </c>
      <c r="D793" s="2" t="s">
        <v>13</v>
      </c>
      <c r="E793">
        <v>20</v>
      </c>
      <c r="F793" s="2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s="2" t="s">
        <v>806</v>
      </c>
      <c r="D794" s="2" t="s">
        <v>10</v>
      </c>
      <c r="E794">
        <v>54</v>
      </c>
      <c r="F794" s="2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s="2" t="s">
        <v>807</v>
      </c>
      <c r="D795" s="2" t="s">
        <v>13</v>
      </c>
      <c r="E795">
        <v>60</v>
      </c>
      <c r="F795" s="2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s="2" t="s">
        <v>808</v>
      </c>
      <c r="D796" s="2" t="s">
        <v>10</v>
      </c>
      <c r="E796">
        <v>57</v>
      </c>
      <c r="F796" s="2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s="2" t="s">
        <v>809</v>
      </c>
      <c r="D797" s="2" t="s">
        <v>10</v>
      </c>
      <c r="E797">
        <v>43</v>
      </c>
      <c r="F797" s="2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s="2" t="s">
        <v>810</v>
      </c>
      <c r="D798" s="2" t="s">
        <v>10</v>
      </c>
      <c r="E798">
        <v>40</v>
      </c>
      <c r="F798" s="2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s="2" t="s">
        <v>811</v>
      </c>
      <c r="D799" s="2" t="s">
        <v>10</v>
      </c>
      <c r="E799">
        <v>61</v>
      </c>
      <c r="F799" s="2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s="2" t="s">
        <v>812</v>
      </c>
      <c r="D800" s="2" t="s">
        <v>10</v>
      </c>
      <c r="E800">
        <v>56</v>
      </c>
      <c r="F800" s="2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s="2" t="s">
        <v>813</v>
      </c>
      <c r="D801" s="2" t="s">
        <v>10</v>
      </c>
      <c r="E801">
        <v>32</v>
      </c>
      <c r="F801" s="2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s="2" t="s">
        <v>814</v>
      </c>
      <c r="D802" s="2" t="s">
        <v>10</v>
      </c>
      <c r="E802">
        <v>21</v>
      </c>
      <c r="F802" s="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s="2" t="s">
        <v>815</v>
      </c>
      <c r="D803" s="2" t="s">
        <v>13</v>
      </c>
      <c r="E803">
        <v>46</v>
      </c>
      <c r="F803" s="2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s="2" t="s">
        <v>816</v>
      </c>
      <c r="D804" s="2" t="s">
        <v>10</v>
      </c>
      <c r="E804">
        <v>39</v>
      </c>
      <c r="F804" s="2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s="2" t="s">
        <v>817</v>
      </c>
      <c r="D805" s="2" t="s">
        <v>10</v>
      </c>
      <c r="E805">
        <v>42</v>
      </c>
      <c r="F805" s="2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s="2" t="s">
        <v>818</v>
      </c>
      <c r="D806" s="2" t="s">
        <v>13</v>
      </c>
      <c r="E806">
        <v>30</v>
      </c>
      <c r="F806" s="2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s="2" t="s">
        <v>819</v>
      </c>
      <c r="D807" s="2" t="s">
        <v>13</v>
      </c>
      <c r="E807">
        <v>35</v>
      </c>
      <c r="F807" s="2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s="2" t="s">
        <v>820</v>
      </c>
      <c r="D808" s="2" t="s">
        <v>13</v>
      </c>
      <c r="E808">
        <v>50</v>
      </c>
      <c r="F808" s="2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s="2" t="s">
        <v>821</v>
      </c>
      <c r="D809" s="2" t="s">
        <v>10</v>
      </c>
      <c r="E809">
        <v>33</v>
      </c>
      <c r="F809" s="2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s="2" t="s">
        <v>822</v>
      </c>
      <c r="D810" s="2" t="s">
        <v>13</v>
      </c>
      <c r="E810">
        <v>62</v>
      </c>
      <c r="F810" s="2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s="2" t="s">
        <v>823</v>
      </c>
      <c r="D811" s="2" t="s">
        <v>10</v>
      </c>
      <c r="E811">
        <v>59</v>
      </c>
      <c r="F811" s="2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s="2" t="s">
        <v>824</v>
      </c>
      <c r="D812" s="2" t="s">
        <v>10</v>
      </c>
      <c r="E812">
        <v>61</v>
      </c>
      <c r="F812" s="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s="2" t="s">
        <v>825</v>
      </c>
      <c r="D813" s="2" t="s">
        <v>10</v>
      </c>
      <c r="E813">
        <v>19</v>
      </c>
      <c r="F813" s="2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s="2" t="s">
        <v>826</v>
      </c>
      <c r="D814" s="2" t="s">
        <v>10</v>
      </c>
      <c r="E814">
        <v>52</v>
      </c>
      <c r="F814" s="2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s="2" t="s">
        <v>827</v>
      </c>
      <c r="D815" s="2" t="s">
        <v>13</v>
      </c>
      <c r="E815">
        <v>59</v>
      </c>
      <c r="F815" s="2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s="2" t="s">
        <v>828</v>
      </c>
      <c r="D816" s="2" t="s">
        <v>13</v>
      </c>
      <c r="E816">
        <v>51</v>
      </c>
      <c r="F816" s="2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s="2" t="s">
        <v>829</v>
      </c>
      <c r="D817" s="2" t="s">
        <v>10</v>
      </c>
      <c r="E817">
        <v>47</v>
      </c>
      <c r="F817" s="2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s="2" t="s">
        <v>830</v>
      </c>
      <c r="D818" s="2" t="s">
        <v>10</v>
      </c>
      <c r="E818">
        <v>30</v>
      </c>
      <c r="F818" s="2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s="2" t="s">
        <v>831</v>
      </c>
      <c r="D819" s="2" t="s">
        <v>10</v>
      </c>
      <c r="E819">
        <v>30</v>
      </c>
      <c r="F819" s="2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s="2" t="s">
        <v>832</v>
      </c>
      <c r="D820" s="2" t="s">
        <v>13</v>
      </c>
      <c r="E820">
        <v>35</v>
      </c>
      <c r="F820" s="2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s="2" t="s">
        <v>833</v>
      </c>
      <c r="D821" s="2" t="s">
        <v>10</v>
      </c>
      <c r="E821">
        <v>49</v>
      </c>
      <c r="F821" s="2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s="2" t="s">
        <v>834</v>
      </c>
      <c r="D822" s="2" t="s">
        <v>10</v>
      </c>
      <c r="E822">
        <v>49</v>
      </c>
      <c r="F822" s="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s="2" t="s">
        <v>835</v>
      </c>
      <c r="D823" s="2" t="s">
        <v>13</v>
      </c>
      <c r="E823">
        <v>52</v>
      </c>
      <c r="F823" s="2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s="2" t="s">
        <v>836</v>
      </c>
      <c r="D824" s="2" t="s">
        <v>13</v>
      </c>
      <c r="E824">
        <v>56</v>
      </c>
      <c r="F824" s="2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s="2" t="s">
        <v>837</v>
      </c>
      <c r="D825" s="2" t="s">
        <v>10</v>
      </c>
      <c r="E825">
        <v>63</v>
      </c>
      <c r="F825" s="2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s="2" t="s">
        <v>838</v>
      </c>
      <c r="D826" s="2" t="s">
        <v>13</v>
      </c>
      <c r="E826">
        <v>46</v>
      </c>
      <c r="F826" s="2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s="2" t="s">
        <v>839</v>
      </c>
      <c r="D827" s="2" t="s">
        <v>13</v>
      </c>
      <c r="E827">
        <v>46</v>
      </c>
      <c r="F827" s="2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s="2" t="s">
        <v>840</v>
      </c>
      <c r="D828" s="2" t="s">
        <v>10</v>
      </c>
      <c r="E828">
        <v>61</v>
      </c>
      <c r="F828" s="2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s="2" t="s">
        <v>841</v>
      </c>
      <c r="D829" s="2" t="s">
        <v>13</v>
      </c>
      <c r="E829">
        <v>33</v>
      </c>
      <c r="F829" s="2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s="2" t="s">
        <v>842</v>
      </c>
      <c r="D830" s="2" t="s">
        <v>10</v>
      </c>
      <c r="E830">
        <v>61</v>
      </c>
      <c r="F830" s="2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s="2" t="s">
        <v>843</v>
      </c>
      <c r="D831" s="2" t="s">
        <v>13</v>
      </c>
      <c r="E831">
        <v>64</v>
      </c>
      <c r="F831" s="2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s="2" t="s">
        <v>844</v>
      </c>
      <c r="D832" s="2" t="s">
        <v>10</v>
      </c>
      <c r="E832">
        <v>27</v>
      </c>
      <c r="F832" s="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s="2" t="s">
        <v>845</v>
      </c>
      <c r="D833" s="2" t="s">
        <v>10</v>
      </c>
      <c r="E833">
        <v>47</v>
      </c>
      <c r="F833" s="2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s="2" t="s">
        <v>846</v>
      </c>
      <c r="D834" s="2" t="s">
        <v>10</v>
      </c>
      <c r="E834">
        <v>42</v>
      </c>
      <c r="F834" s="2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s="2" t="s">
        <v>847</v>
      </c>
      <c r="D835" s="2" t="s">
        <v>13</v>
      </c>
      <c r="E835">
        <v>56</v>
      </c>
      <c r="F835" s="2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s="2" t="s">
        <v>848</v>
      </c>
      <c r="D836" s="2" t="s">
        <v>10</v>
      </c>
      <c r="E836">
        <v>37</v>
      </c>
      <c r="F836" s="2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s="2" t="s">
        <v>849</v>
      </c>
      <c r="D837" s="2" t="s">
        <v>13</v>
      </c>
      <c r="E837">
        <v>22</v>
      </c>
      <c r="F837" s="2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s="2" t="s">
        <v>850</v>
      </c>
      <c r="D838" s="2" t="s">
        <v>10</v>
      </c>
      <c r="E838">
        <v>18</v>
      </c>
      <c r="F838" s="2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s="2" t="s">
        <v>851</v>
      </c>
      <c r="D839" s="2" t="s">
        <v>10</v>
      </c>
      <c r="E839">
        <v>47</v>
      </c>
      <c r="F839" s="2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s="2" t="s">
        <v>852</v>
      </c>
      <c r="D840" s="2" t="s">
        <v>13</v>
      </c>
      <c r="E840">
        <v>20</v>
      </c>
      <c r="F840" s="2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s="2" t="s">
        <v>853</v>
      </c>
      <c r="D841" s="2" t="s">
        <v>10</v>
      </c>
      <c r="E841">
        <v>62</v>
      </c>
      <c r="F841" s="2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s="2" t="s">
        <v>854</v>
      </c>
      <c r="D842" s="2" t="s">
        <v>10</v>
      </c>
      <c r="E842">
        <v>31</v>
      </c>
      <c r="F842" s="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s="2" t="s">
        <v>855</v>
      </c>
      <c r="D843" s="2" t="s">
        <v>13</v>
      </c>
      <c r="E843">
        <v>47</v>
      </c>
      <c r="F843" s="2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s="2" t="s">
        <v>856</v>
      </c>
      <c r="D844" s="2" t="s">
        <v>10</v>
      </c>
      <c r="E844">
        <v>21</v>
      </c>
      <c r="F844" s="2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s="2" t="s">
        <v>857</v>
      </c>
      <c r="D845" s="2" t="s">
        <v>10</v>
      </c>
      <c r="E845">
        <v>35</v>
      </c>
      <c r="F845" s="2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s="2" t="s">
        <v>858</v>
      </c>
      <c r="D846" s="2" t="s">
        <v>10</v>
      </c>
      <c r="E846">
        <v>54</v>
      </c>
      <c r="F846" s="2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s="2" t="s">
        <v>859</v>
      </c>
      <c r="D847" s="2" t="s">
        <v>10</v>
      </c>
      <c r="E847">
        <v>42</v>
      </c>
      <c r="F847" s="2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s="2" t="s">
        <v>860</v>
      </c>
      <c r="D848" s="2" t="s">
        <v>13</v>
      </c>
      <c r="E848">
        <v>18</v>
      </c>
      <c r="F848" s="2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s="2" t="s">
        <v>861</v>
      </c>
      <c r="D849" s="2" t="s">
        <v>13</v>
      </c>
      <c r="E849">
        <v>63</v>
      </c>
      <c r="F849" s="2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s="2" t="s">
        <v>862</v>
      </c>
      <c r="D850" s="2" t="s">
        <v>10</v>
      </c>
      <c r="E850">
        <v>32</v>
      </c>
      <c r="F850" s="2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s="2" t="s">
        <v>863</v>
      </c>
      <c r="D851" s="2" t="s">
        <v>13</v>
      </c>
      <c r="E851">
        <v>26</v>
      </c>
      <c r="F851" s="2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s="2" t="s">
        <v>864</v>
      </c>
      <c r="D852" s="2" t="s">
        <v>10</v>
      </c>
      <c r="E852">
        <v>32</v>
      </c>
      <c r="F852" s="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s="2" t="s">
        <v>865</v>
      </c>
      <c r="D853" s="2" t="s">
        <v>13</v>
      </c>
      <c r="E853">
        <v>41</v>
      </c>
      <c r="F853" s="2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s="2" t="s">
        <v>866</v>
      </c>
      <c r="D854" s="2" t="s">
        <v>10</v>
      </c>
      <c r="E854">
        <v>21</v>
      </c>
      <c r="F854" s="2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s="2" t="s">
        <v>867</v>
      </c>
      <c r="D855" s="2" t="s">
        <v>10</v>
      </c>
      <c r="E855">
        <v>29</v>
      </c>
      <c r="F855" s="2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s="2" t="s">
        <v>868</v>
      </c>
      <c r="D856" s="2" t="s">
        <v>10</v>
      </c>
      <c r="E856">
        <v>54</v>
      </c>
      <c r="F856" s="2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s="2" t="s">
        <v>869</v>
      </c>
      <c r="D857" s="2" t="s">
        <v>10</v>
      </c>
      <c r="E857">
        <v>54</v>
      </c>
      <c r="F857" s="2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s="2" t="s">
        <v>870</v>
      </c>
      <c r="D858" s="2" t="s">
        <v>10</v>
      </c>
      <c r="E858">
        <v>60</v>
      </c>
      <c r="F858" s="2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s="2" t="s">
        <v>871</v>
      </c>
      <c r="D859" s="2" t="s">
        <v>10</v>
      </c>
      <c r="E859">
        <v>23</v>
      </c>
      <c r="F859" s="2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s="2" t="s">
        <v>872</v>
      </c>
      <c r="D860" s="2" t="s">
        <v>13</v>
      </c>
      <c r="E860">
        <v>56</v>
      </c>
      <c r="F860" s="2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s="2" t="s">
        <v>873</v>
      </c>
      <c r="D861" s="2" t="s">
        <v>10</v>
      </c>
      <c r="E861">
        <v>63</v>
      </c>
      <c r="F861" s="2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s="2" t="s">
        <v>874</v>
      </c>
      <c r="D862" s="2" t="s">
        <v>13</v>
      </c>
      <c r="E862">
        <v>41</v>
      </c>
      <c r="F862" s="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s="2" t="s">
        <v>875</v>
      </c>
      <c r="D863" s="2" t="s">
        <v>10</v>
      </c>
      <c r="E863">
        <v>28</v>
      </c>
      <c r="F863" s="2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s="2" t="s">
        <v>876</v>
      </c>
      <c r="D864" s="2" t="s">
        <v>13</v>
      </c>
      <c r="E864">
        <v>30</v>
      </c>
      <c r="F864" s="2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s="2" t="s">
        <v>877</v>
      </c>
      <c r="D865" s="2" t="s">
        <v>13</v>
      </c>
      <c r="E865">
        <v>51</v>
      </c>
      <c r="F865" s="2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s="2" t="s">
        <v>878</v>
      </c>
      <c r="D866" s="2" t="s">
        <v>13</v>
      </c>
      <c r="E866">
        <v>42</v>
      </c>
      <c r="F866" s="2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s="2" t="s">
        <v>879</v>
      </c>
      <c r="D867" s="2" t="s">
        <v>10</v>
      </c>
      <c r="E867">
        <v>24</v>
      </c>
      <c r="F867" s="2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s="2" t="s">
        <v>880</v>
      </c>
      <c r="D868" s="2" t="s">
        <v>10</v>
      </c>
      <c r="E868">
        <v>21</v>
      </c>
      <c r="F868" s="2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s="2" t="s">
        <v>881</v>
      </c>
      <c r="D869" s="2" t="s">
        <v>13</v>
      </c>
      <c r="E869">
        <v>25</v>
      </c>
      <c r="F869" s="2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s="2" t="s">
        <v>882</v>
      </c>
      <c r="D870" s="2" t="s">
        <v>10</v>
      </c>
      <c r="E870">
        <v>37</v>
      </c>
      <c r="F870" s="2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s="2" t="s">
        <v>883</v>
      </c>
      <c r="D871" s="2" t="s">
        <v>13</v>
      </c>
      <c r="E871">
        <v>46</v>
      </c>
      <c r="F871" s="2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s="2" t="s">
        <v>884</v>
      </c>
      <c r="D872" s="2" t="s">
        <v>10</v>
      </c>
      <c r="E872">
        <v>62</v>
      </c>
      <c r="F872" s="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s="2" t="s">
        <v>885</v>
      </c>
      <c r="D873" s="2" t="s">
        <v>13</v>
      </c>
      <c r="E873">
        <v>63</v>
      </c>
      <c r="F873" s="2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s="2" t="s">
        <v>886</v>
      </c>
      <c r="D874" s="2" t="s">
        <v>13</v>
      </c>
      <c r="E874">
        <v>27</v>
      </c>
      <c r="F874" s="2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s="2" t="s">
        <v>887</v>
      </c>
      <c r="D875" s="2" t="s">
        <v>10</v>
      </c>
      <c r="E875">
        <v>60</v>
      </c>
      <c r="F875" s="2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s="2" t="s">
        <v>888</v>
      </c>
      <c r="D876" s="2" t="s">
        <v>13</v>
      </c>
      <c r="E876">
        <v>51</v>
      </c>
      <c r="F876" s="2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s="2" t="s">
        <v>889</v>
      </c>
      <c r="D877" s="2" t="s">
        <v>10</v>
      </c>
      <c r="E877">
        <v>43</v>
      </c>
      <c r="F877" s="2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s="2" t="s">
        <v>890</v>
      </c>
      <c r="D878" s="2" t="s">
        <v>13</v>
      </c>
      <c r="E878">
        <v>58</v>
      </c>
      <c r="F878" s="2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s="2" t="s">
        <v>891</v>
      </c>
      <c r="D879" s="2" t="s">
        <v>13</v>
      </c>
      <c r="E879">
        <v>20</v>
      </c>
      <c r="F879" s="2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s="2" t="s">
        <v>892</v>
      </c>
      <c r="D880" s="2" t="s">
        <v>10</v>
      </c>
      <c r="E880">
        <v>23</v>
      </c>
      <c r="F880" s="2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s="2" t="s">
        <v>893</v>
      </c>
      <c r="D881" s="2" t="s">
        <v>10</v>
      </c>
      <c r="E881">
        <v>22</v>
      </c>
      <c r="F881" s="2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s="2" t="s">
        <v>894</v>
      </c>
      <c r="D882" s="2" t="s">
        <v>10</v>
      </c>
      <c r="E882">
        <v>22</v>
      </c>
      <c r="F882" s="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s="2" t="s">
        <v>895</v>
      </c>
      <c r="D883" s="2" t="s">
        <v>13</v>
      </c>
      <c r="E883">
        <v>64</v>
      </c>
      <c r="F883" s="2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s="2" t="s">
        <v>896</v>
      </c>
      <c r="D884" s="2" t="s">
        <v>10</v>
      </c>
      <c r="E884">
        <v>40</v>
      </c>
      <c r="F884" s="2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s="2" t="s">
        <v>897</v>
      </c>
      <c r="D885" s="2" t="s">
        <v>13</v>
      </c>
      <c r="E885">
        <v>26</v>
      </c>
      <c r="F885" s="2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s="2" t="s">
        <v>898</v>
      </c>
      <c r="D886" s="2" t="s">
        <v>13</v>
      </c>
      <c r="E886">
        <v>52</v>
      </c>
      <c r="F886" s="2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s="2" t="s">
        <v>899</v>
      </c>
      <c r="D887" s="2" t="s">
        <v>10</v>
      </c>
      <c r="E887">
        <v>37</v>
      </c>
      <c r="F887" s="2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s="2" t="s">
        <v>900</v>
      </c>
      <c r="D888" s="2" t="s">
        <v>10</v>
      </c>
      <c r="E888">
        <v>59</v>
      </c>
      <c r="F888" s="2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s="2" t="s">
        <v>901</v>
      </c>
      <c r="D889" s="2" t="s">
        <v>13</v>
      </c>
      <c r="E889">
        <v>52</v>
      </c>
      <c r="F889" s="2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s="2" t="s">
        <v>902</v>
      </c>
      <c r="D890" s="2" t="s">
        <v>13</v>
      </c>
      <c r="E890">
        <v>35</v>
      </c>
      <c r="F890" s="2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s="2" t="s">
        <v>903</v>
      </c>
      <c r="D891" s="2" t="s">
        <v>10</v>
      </c>
      <c r="E891">
        <v>34</v>
      </c>
      <c r="F891" s="2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s="2" t="s">
        <v>904</v>
      </c>
      <c r="D892" s="2" t="s">
        <v>10</v>
      </c>
      <c r="E892">
        <v>41</v>
      </c>
      <c r="F892" s="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s="2" t="s">
        <v>905</v>
      </c>
      <c r="D893" s="2" t="s">
        <v>10</v>
      </c>
      <c r="E893">
        <v>20</v>
      </c>
      <c r="F893" s="2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s="2" t="s">
        <v>906</v>
      </c>
      <c r="D894" s="2" t="s">
        <v>10</v>
      </c>
      <c r="E894">
        <v>49</v>
      </c>
      <c r="F894" s="2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s="2" t="s">
        <v>907</v>
      </c>
      <c r="D895" s="2" t="s">
        <v>10</v>
      </c>
      <c r="E895">
        <v>52</v>
      </c>
      <c r="F895" s="2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s="2" t="s">
        <v>908</v>
      </c>
      <c r="D896" s="2" t="s">
        <v>13</v>
      </c>
      <c r="E896">
        <v>55</v>
      </c>
      <c r="F896" s="2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s="2" t="s">
        <v>909</v>
      </c>
      <c r="D897" s="2" t="s">
        <v>13</v>
      </c>
      <c r="E897">
        <v>30</v>
      </c>
      <c r="F897" s="2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s="2" t="s">
        <v>910</v>
      </c>
      <c r="D898" s="2" t="s">
        <v>13</v>
      </c>
      <c r="E898">
        <v>64</v>
      </c>
      <c r="F898" s="2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s="2" t="s">
        <v>911</v>
      </c>
      <c r="D899" s="2" t="s">
        <v>13</v>
      </c>
      <c r="E899">
        <v>42</v>
      </c>
      <c r="F899" s="2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s="2" t="s">
        <v>912</v>
      </c>
      <c r="D900" s="2" t="s">
        <v>10</v>
      </c>
      <c r="E900">
        <v>26</v>
      </c>
      <c r="F900" s="2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s="2" t="s">
        <v>913</v>
      </c>
      <c r="D901" s="2" t="s">
        <v>10</v>
      </c>
      <c r="E901">
        <v>21</v>
      </c>
      <c r="F901" s="2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s="2" t="s">
        <v>914</v>
      </c>
      <c r="D902" s="2" t="s">
        <v>10</v>
      </c>
      <c r="E902">
        <v>31</v>
      </c>
      <c r="F902" s="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s="2" t="s">
        <v>915</v>
      </c>
      <c r="D903" s="2" t="s">
        <v>13</v>
      </c>
      <c r="E903">
        <v>54</v>
      </c>
      <c r="F903" s="2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s="2" t="s">
        <v>916</v>
      </c>
      <c r="D904" s="2" t="s">
        <v>13</v>
      </c>
      <c r="E904">
        <v>51</v>
      </c>
      <c r="F904" s="2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s="2" t="s">
        <v>917</v>
      </c>
      <c r="D905" s="2" t="s">
        <v>10</v>
      </c>
      <c r="E905">
        <v>28</v>
      </c>
      <c r="F905" s="2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s="2" t="s">
        <v>918</v>
      </c>
      <c r="D906" s="2" t="s">
        <v>10</v>
      </c>
      <c r="E906">
        <v>58</v>
      </c>
      <c r="F906" s="2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s="2" t="s">
        <v>919</v>
      </c>
      <c r="D907" s="2" t="s">
        <v>13</v>
      </c>
      <c r="E907">
        <v>20</v>
      </c>
      <c r="F907" s="2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s="2" t="s">
        <v>920</v>
      </c>
      <c r="D908" s="2" t="s">
        <v>13</v>
      </c>
      <c r="E908">
        <v>45</v>
      </c>
      <c r="F908" s="2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s="2" t="s">
        <v>921</v>
      </c>
      <c r="D909" s="2" t="s">
        <v>10</v>
      </c>
      <c r="E909">
        <v>46</v>
      </c>
      <c r="F909" s="2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s="2" t="s">
        <v>922</v>
      </c>
      <c r="D910" s="2" t="s">
        <v>10</v>
      </c>
      <c r="E910">
        <v>26</v>
      </c>
      <c r="F910" s="2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s="2" t="s">
        <v>923</v>
      </c>
      <c r="D911" s="2" t="s">
        <v>13</v>
      </c>
      <c r="E911">
        <v>20</v>
      </c>
      <c r="F911" s="2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s="2" t="s">
        <v>924</v>
      </c>
      <c r="D912" s="2" t="s">
        <v>10</v>
      </c>
      <c r="E912">
        <v>42</v>
      </c>
      <c r="F912" s="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s="2" t="s">
        <v>925</v>
      </c>
      <c r="D913" s="2" t="s">
        <v>10</v>
      </c>
      <c r="E913">
        <v>51</v>
      </c>
      <c r="F913" s="2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s="2" t="s">
        <v>926</v>
      </c>
      <c r="D914" s="2" t="s">
        <v>10</v>
      </c>
      <c r="E914">
        <v>29</v>
      </c>
      <c r="F914" s="2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s="2" t="s">
        <v>927</v>
      </c>
      <c r="D915" s="2" t="s">
        <v>13</v>
      </c>
      <c r="E915">
        <v>59</v>
      </c>
      <c r="F915" s="2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s="2" t="s">
        <v>928</v>
      </c>
      <c r="D916" s="2" t="s">
        <v>13</v>
      </c>
      <c r="E916">
        <v>26</v>
      </c>
      <c r="F916" s="2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s="2" t="s">
        <v>929</v>
      </c>
      <c r="D917" s="2" t="s">
        <v>13</v>
      </c>
      <c r="E917">
        <v>32</v>
      </c>
      <c r="F917" s="2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s="2" t="s">
        <v>930</v>
      </c>
      <c r="D918" s="2" t="s">
        <v>13</v>
      </c>
      <c r="E918">
        <v>57</v>
      </c>
      <c r="F918" s="2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s="2" t="s">
        <v>931</v>
      </c>
      <c r="D919" s="2" t="s">
        <v>13</v>
      </c>
      <c r="E919">
        <v>42</v>
      </c>
      <c r="F919" s="2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s="2" t="s">
        <v>932</v>
      </c>
      <c r="D920" s="2" t="s">
        <v>13</v>
      </c>
      <c r="E920">
        <v>22</v>
      </c>
      <c r="F920" s="2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s="2" t="s">
        <v>933</v>
      </c>
      <c r="D921" s="2" t="s">
        <v>13</v>
      </c>
      <c r="E921">
        <v>28</v>
      </c>
      <c r="F921" s="2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s="2" t="s">
        <v>934</v>
      </c>
      <c r="D922" s="2" t="s">
        <v>10</v>
      </c>
      <c r="E922">
        <v>51</v>
      </c>
      <c r="F922" s="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s="2" t="s">
        <v>935</v>
      </c>
      <c r="D923" s="2" t="s">
        <v>10</v>
      </c>
      <c r="E923">
        <v>41</v>
      </c>
      <c r="F923" s="2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s="2" t="s">
        <v>936</v>
      </c>
      <c r="D924" s="2" t="s">
        <v>10</v>
      </c>
      <c r="E924">
        <v>32</v>
      </c>
      <c r="F924" s="2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s="2" t="s">
        <v>937</v>
      </c>
      <c r="D925" s="2" t="s">
        <v>10</v>
      </c>
      <c r="E925">
        <v>55</v>
      </c>
      <c r="F925" s="2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s="2" t="s">
        <v>938</v>
      </c>
      <c r="D926" s="2" t="s">
        <v>10</v>
      </c>
      <c r="E926">
        <v>25</v>
      </c>
      <c r="F926" s="2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s="2" t="s">
        <v>939</v>
      </c>
      <c r="D927" s="2" t="s">
        <v>10</v>
      </c>
      <c r="E927">
        <v>22</v>
      </c>
      <c r="F927" s="2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s="2" t="s">
        <v>940</v>
      </c>
      <c r="D928" s="2" t="s">
        <v>10</v>
      </c>
      <c r="E928">
        <v>43</v>
      </c>
      <c r="F928" s="2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s="2" t="s">
        <v>941</v>
      </c>
      <c r="D929" s="2" t="s">
        <v>13</v>
      </c>
      <c r="E929">
        <v>35</v>
      </c>
      <c r="F929" s="2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s="2" t="s">
        <v>942</v>
      </c>
      <c r="D930" s="2" t="s">
        <v>13</v>
      </c>
      <c r="E930">
        <v>23</v>
      </c>
      <c r="F930" s="2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s="2" t="s">
        <v>943</v>
      </c>
      <c r="D931" s="2" t="s">
        <v>10</v>
      </c>
      <c r="E931">
        <v>54</v>
      </c>
      <c r="F931" s="2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s="2" t="s">
        <v>944</v>
      </c>
      <c r="D932" s="2" t="s">
        <v>10</v>
      </c>
      <c r="E932">
        <v>30</v>
      </c>
      <c r="F932" s="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s="2" t="s">
        <v>945</v>
      </c>
      <c r="D933" s="2" t="s">
        <v>13</v>
      </c>
      <c r="E933">
        <v>45</v>
      </c>
      <c r="F933" s="2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s="2" t="s">
        <v>946</v>
      </c>
      <c r="D934" s="2" t="s">
        <v>10</v>
      </c>
      <c r="E934">
        <v>22</v>
      </c>
      <c r="F934" s="2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s="2" t="s">
        <v>947</v>
      </c>
      <c r="D935" s="2" t="s">
        <v>10</v>
      </c>
      <c r="E935">
        <v>30</v>
      </c>
      <c r="F935" s="2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s="2" t="s">
        <v>948</v>
      </c>
      <c r="D936" s="2" t="s">
        <v>13</v>
      </c>
      <c r="E936">
        <v>34</v>
      </c>
      <c r="F936" s="2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s="2" t="s">
        <v>949</v>
      </c>
      <c r="D937" s="2" t="s">
        <v>10</v>
      </c>
      <c r="E937">
        <v>57</v>
      </c>
      <c r="F937" s="2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s="2" t="s">
        <v>950</v>
      </c>
      <c r="D938" s="2" t="s">
        <v>13</v>
      </c>
      <c r="E938">
        <v>62</v>
      </c>
      <c r="F938" s="2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s="2" t="s">
        <v>951</v>
      </c>
      <c r="D939" s="2" t="s">
        <v>10</v>
      </c>
      <c r="E939">
        <v>49</v>
      </c>
      <c r="F939" s="2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s="2" t="s">
        <v>952</v>
      </c>
      <c r="D940" s="2" t="s">
        <v>13</v>
      </c>
      <c r="E940">
        <v>46</v>
      </c>
      <c r="F940" s="2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s="2" t="s">
        <v>953</v>
      </c>
      <c r="D941" s="2" t="s">
        <v>13</v>
      </c>
      <c r="E941">
        <v>20</v>
      </c>
      <c r="F941" s="2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s="2" t="s">
        <v>954</v>
      </c>
      <c r="D942" s="2" t="s">
        <v>13</v>
      </c>
      <c r="E942">
        <v>57</v>
      </c>
      <c r="F942" s="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s="2" t="s">
        <v>955</v>
      </c>
      <c r="D943" s="2" t="s">
        <v>10</v>
      </c>
      <c r="E943">
        <v>51</v>
      </c>
      <c r="F943" s="2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s="2" t="s">
        <v>956</v>
      </c>
      <c r="D944" s="2" t="s">
        <v>13</v>
      </c>
      <c r="E944">
        <v>57</v>
      </c>
      <c r="F944" s="2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s="2" t="s">
        <v>957</v>
      </c>
      <c r="D945" s="2" t="s">
        <v>10</v>
      </c>
      <c r="E945">
        <v>44</v>
      </c>
      <c r="F945" s="2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s="2" t="s">
        <v>958</v>
      </c>
      <c r="D946" s="2" t="s">
        <v>10</v>
      </c>
      <c r="E946">
        <v>30</v>
      </c>
      <c r="F946" s="2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s="2" t="s">
        <v>959</v>
      </c>
      <c r="D947" s="2" t="s">
        <v>10</v>
      </c>
      <c r="E947">
        <v>62</v>
      </c>
      <c r="F947" s="2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s="2" t="s">
        <v>960</v>
      </c>
      <c r="D948" s="2" t="s">
        <v>10</v>
      </c>
      <c r="E948">
        <v>50</v>
      </c>
      <c r="F948" s="2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s="2" t="s">
        <v>961</v>
      </c>
      <c r="D949" s="2" t="s">
        <v>13</v>
      </c>
      <c r="E949">
        <v>23</v>
      </c>
      <c r="F949" s="2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s="2" t="s">
        <v>962</v>
      </c>
      <c r="D950" s="2" t="s">
        <v>13</v>
      </c>
      <c r="E950">
        <v>41</v>
      </c>
      <c r="F950" s="2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s="2" t="s">
        <v>963</v>
      </c>
      <c r="D951" s="2" t="s">
        <v>10</v>
      </c>
      <c r="E951">
        <v>36</v>
      </c>
      <c r="F951" s="2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s="2" t="s">
        <v>964</v>
      </c>
      <c r="D952" s="2" t="s">
        <v>10</v>
      </c>
      <c r="E952">
        <v>33</v>
      </c>
      <c r="F952" s="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s="2" t="s">
        <v>965</v>
      </c>
      <c r="D953" s="2" t="s">
        <v>13</v>
      </c>
      <c r="E953">
        <v>57</v>
      </c>
      <c r="F953" s="2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s="2" t="s">
        <v>966</v>
      </c>
      <c r="D954" s="2" t="s">
        <v>10</v>
      </c>
      <c r="E954">
        <v>45</v>
      </c>
      <c r="F954" s="2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s="2" t="s">
        <v>967</v>
      </c>
      <c r="D955" s="2" t="s">
        <v>13</v>
      </c>
      <c r="E955">
        <v>50</v>
      </c>
      <c r="F955" s="2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s="2" t="s">
        <v>968</v>
      </c>
      <c r="D956" s="2" t="s">
        <v>10</v>
      </c>
      <c r="E956">
        <v>58</v>
      </c>
      <c r="F956" s="2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s="2" t="s">
        <v>969</v>
      </c>
      <c r="D957" s="2" t="s">
        <v>10</v>
      </c>
      <c r="E957">
        <v>30</v>
      </c>
      <c r="F957" s="2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s="2" t="s">
        <v>970</v>
      </c>
      <c r="D958" s="2" t="s">
        <v>13</v>
      </c>
      <c r="E958">
        <v>60</v>
      </c>
      <c r="F958" s="2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s="2" t="s">
        <v>971</v>
      </c>
      <c r="D959" s="2" t="s">
        <v>10</v>
      </c>
      <c r="E959">
        <v>62</v>
      </c>
      <c r="F959" s="2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s="2" t="s">
        <v>972</v>
      </c>
      <c r="D960" s="2" t="s">
        <v>13</v>
      </c>
      <c r="E960">
        <v>42</v>
      </c>
      <c r="F960" s="2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s="2" t="s">
        <v>973</v>
      </c>
      <c r="D961" s="2" t="s">
        <v>10</v>
      </c>
      <c r="E961">
        <v>59</v>
      </c>
      <c r="F961" s="2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s="2" t="s">
        <v>974</v>
      </c>
      <c r="D962" s="2" t="s">
        <v>10</v>
      </c>
      <c r="E962">
        <v>53</v>
      </c>
      <c r="F962" s="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s="2" t="s">
        <v>975</v>
      </c>
      <c r="D963" s="2" t="s">
        <v>10</v>
      </c>
      <c r="E963">
        <v>44</v>
      </c>
      <c r="F963" s="2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s="2" t="s">
        <v>976</v>
      </c>
      <c r="D964" s="2" t="s">
        <v>13</v>
      </c>
      <c r="E964">
        <v>55</v>
      </c>
      <c r="F964" s="2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s="2" t="s">
        <v>977</v>
      </c>
      <c r="D965" s="2" t="s">
        <v>10</v>
      </c>
      <c r="E965">
        <v>24</v>
      </c>
      <c r="F965" s="2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s="2" t="s">
        <v>978</v>
      </c>
      <c r="D966" s="2" t="s">
        <v>10</v>
      </c>
      <c r="E966">
        <v>22</v>
      </c>
      <c r="F966" s="2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s="2" t="s">
        <v>979</v>
      </c>
      <c r="D967" s="2" t="s">
        <v>10</v>
      </c>
      <c r="E967">
        <v>60</v>
      </c>
      <c r="F967" s="2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s="2" t="s">
        <v>980</v>
      </c>
      <c r="D968" s="2" t="s">
        <v>10</v>
      </c>
      <c r="E968">
        <v>62</v>
      </c>
      <c r="F968" s="2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s="2" t="s">
        <v>981</v>
      </c>
      <c r="D969" s="2" t="s">
        <v>13</v>
      </c>
      <c r="E969">
        <v>48</v>
      </c>
      <c r="F969" s="2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s="2" t="s">
        <v>982</v>
      </c>
      <c r="D970" s="2" t="s">
        <v>13</v>
      </c>
      <c r="E970">
        <v>40</v>
      </c>
      <c r="F970" s="2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s="2" t="s">
        <v>983</v>
      </c>
      <c r="D971" s="2" t="s">
        <v>10</v>
      </c>
      <c r="E971">
        <v>59</v>
      </c>
      <c r="F971" s="2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s="2" t="s">
        <v>984</v>
      </c>
      <c r="D972" s="2" t="s">
        <v>13</v>
      </c>
      <c r="E972">
        <v>27</v>
      </c>
      <c r="F972" s="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s="2" t="s">
        <v>985</v>
      </c>
      <c r="D973" s="2" t="s">
        <v>10</v>
      </c>
      <c r="E973">
        <v>49</v>
      </c>
      <c r="F973" s="2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s="2" t="s">
        <v>986</v>
      </c>
      <c r="D974" s="2" t="s">
        <v>10</v>
      </c>
      <c r="E974">
        <v>60</v>
      </c>
      <c r="F974" s="2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s="2" t="s">
        <v>987</v>
      </c>
      <c r="D975" s="2" t="s">
        <v>10</v>
      </c>
      <c r="E975">
        <v>47</v>
      </c>
      <c r="F975" s="2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s="2" t="s">
        <v>988</v>
      </c>
      <c r="D976" s="2" t="s">
        <v>13</v>
      </c>
      <c r="E976">
        <v>56</v>
      </c>
      <c r="F976" s="2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s="2" t="s">
        <v>989</v>
      </c>
      <c r="D977" s="2" t="s">
        <v>13</v>
      </c>
      <c r="E977">
        <v>48</v>
      </c>
      <c r="F977" s="2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s="2" t="s">
        <v>990</v>
      </c>
      <c r="D978" s="2" t="s">
        <v>13</v>
      </c>
      <c r="E978">
        <v>35</v>
      </c>
      <c r="F978" s="2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s="2" t="s">
        <v>991</v>
      </c>
      <c r="D979" s="2" t="s">
        <v>13</v>
      </c>
      <c r="E979">
        <v>53</v>
      </c>
      <c r="F979" s="2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s="2" t="s">
        <v>992</v>
      </c>
      <c r="D980" s="2" t="s">
        <v>13</v>
      </c>
      <c r="E980">
        <v>19</v>
      </c>
      <c r="F980" s="2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s="2" t="s">
        <v>993</v>
      </c>
      <c r="D981" s="2" t="s">
        <v>13</v>
      </c>
      <c r="E981">
        <v>31</v>
      </c>
      <c r="F981" s="2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s="2" t="s">
        <v>994</v>
      </c>
      <c r="D982" s="2" t="s">
        <v>13</v>
      </c>
      <c r="E982">
        <v>30</v>
      </c>
      <c r="F982" s="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s="2" t="s">
        <v>995</v>
      </c>
      <c r="D983" s="2" t="s">
        <v>13</v>
      </c>
      <c r="E983">
        <v>46</v>
      </c>
      <c r="F983" s="2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s="2" t="s">
        <v>996</v>
      </c>
      <c r="D984" s="2" t="s">
        <v>13</v>
      </c>
      <c r="E984">
        <v>29</v>
      </c>
      <c r="F984" s="2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s="2" t="s">
        <v>997</v>
      </c>
      <c r="D985" s="2" t="s">
        <v>10</v>
      </c>
      <c r="E985">
        <v>56</v>
      </c>
      <c r="F985" s="2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s="2" t="s">
        <v>998</v>
      </c>
      <c r="D986" s="2" t="s">
        <v>13</v>
      </c>
      <c r="E986">
        <v>19</v>
      </c>
      <c r="F986" s="2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s="2" t="s">
        <v>999</v>
      </c>
      <c r="D987" s="2" t="s">
        <v>13</v>
      </c>
      <c r="E987">
        <v>49</v>
      </c>
      <c r="F987" s="2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s="2" t="s">
        <v>1000</v>
      </c>
      <c r="D988" s="2" t="s">
        <v>13</v>
      </c>
      <c r="E988">
        <v>30</v>
      </c>
      <c r="F988" s="2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s="2" t="s">
        <v>1001</v>
      </c>
      <c r="D989" s="2" t="s">
        <v>13</v>
      </c>
      <c r="E989">
        <v>63</v>
      </c>
      <c r="F989" s="2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s="2" t="s">
        <v>1002</v>
      </c>
      <c r="D990" s="2" t="s">
        <v>13</v>
      </c>
      <c r="E990">
        <v>44</v>
      </c>
      <c r="F990" s="2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s="2" t="s">
        <v>1003</v>
      </c>
      <c r="D991" s="2" t="s">
        <v>13</v>
      </c>
      <c r="E991">
        <v>58</v>
      </c>
      <c r="F991" s="2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s="2" t="s">
        <v>1004</v>
      </c>
      <c r="D992" s="2" t="s">
        <v>13</v>
      </c>
      <c r="E992">
        <v>34</v>
      </c>
      <c r="F992" s="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s="2" t="s">
        <v>1005</v>
      </c>
      <c r="D993" s="2" t="s">
        <v>13</v>
      </c>
      <c r="E993">
        <v>57</v>
      </c>
      <c r="F993" s="2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s="2" t="s">
        <v>1006</v>
      </c>
      <c r="D994" s="2" t="s">
        <v>13</v>
      </c>
      <c r="E994">
        <v>48</v>
      </c>
      <c r="F994" s="2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s="2" t="s">
        <v>1007</v>
      </c>
      <c r="D995" s="2" t="s">
        <v>13</v>
      </c>
      <c r="E995">
        <v>51</v>
      </c>
      <c r="F995" s="2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s="2" t="s">
        <v>1008</v>
      </c>
      <c r="D996" s="2" t="s">
        <v>13</v>
      </c>
      <c r="E996">
        <v>41</v>
      </c>
      <c r="F996" s="2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s="2" t="s">
        <v>1009</v>
      </c>
      <c r="D997" s="2" t="s">
        <v>10</v>
      </c>
      <c r="E997">
        <v>62</v>
      </c>
      <c r="F997" s="2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s="2" t="s">
        <v>1010</v>
      </c>
      <c r="D998" s="2" t="s">
        <v>10</v>
      </c>
      <c r="E998">
        <v>52</v>
      </c>
      <c r="F998" s="2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s="2" t="s">
        <v>1011</v>
      </c>
      <c r="D999" s="2" t="s">
        <v>13</v>
      </c>
      <c r="E999">
        <v>23</v>
      </c>
      <c r="F999" s="2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s="2" t="s">
        <v>1012</v>
      </c>
      <c r="D1000" s="2" t="s">
        <v>13</v>
      </c>
      <c r="E1000">
        <v>36</v>
      </c>
      <c r="F1000" s="2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s="2" t="s">
        <v>1013</v>
      </c>
      <c r="D1001" s="2" t="s">
        <v>10</v>
      </c>
      <c r="E1001">
        <v>47</v>
      </c>
      <c r="F1001" s="2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D6F3-84A4-4A2D-8C8F-41022EAE116B}">
  <dimension ref="A1:D27"/>
  <sheetViews>
    <sheetView zoomScale="91" workbookViewId="0">
      <selection activeCell="B27" sqref="B27"/>
    </sheetView>
  </sheetViews>
  <sheetFormatPr defaultRowHeight="15" x14ac:dyDescent="0.25"/>
  <cols>
    <col min="1" max="1" width="44" bestFit="1" customWidth="1"/>
    <col min="2" max="2" width="30.5703125" bestFit="1" customWidth="1"/>
    <col min="3" max="3" width="10.28515625" customWidth="1"/>
    <col min="4" max="4" width="53.140625" bestFit="1" customWidth="1"/>
    <col min="5" max="5" width="9.85546875" customWidth="1"/>
    <col min="14" max="14" width="9.85546875" customWidth="1"/>
  </cols>
  <sheetData>
    <row r="1" spans="1:4" x14ac:dyDescent="0.25">
      <c r="A1" s="8" t="s">
        <v>1024</v>
      </c>
      <c r="B1" s="8" t="s">
        <v>1025</v>
      </c>
      <c r="D1" s="3" t="s">
        <v>1047</v>
      </c>
    </row>
    <row r="2" spans="1:4" x14ac:dyDescent="0.25">
      <c r="A2" s="10" t="s">
        <v>1014</v>
      </c>
      <c r="B2" s="5">
        <f>SUM(rawa_data[Total Amount])</f>
        <v>456000</v>
      </c>
      <c r="D2" s="3"/>
    </row>
    <row r="3" spans="1:4" x14ac:dyDescent="0.25">
      <c r="A3" s="10" t="s">
        <v>1015</v>
      </c>
      <c r="B3" s="5">
        <f>AVERAGE(rawa_data[Total Amount])</f>
        <v>456</v>
      </c>
      <c r="D3" s="3" t="s">
        <v>1062</v>
      </c>
    </row>
    <row r="4" spans="1:4" x14ac:dyDescent="0.25">
      <c r="A4" s="10" t="s">
        <v>1016</v>
      </c>
      <c r="B4" s="5">
        <f>MAX(rawa_data[Total Amount])</f>
        <v>2000</v>
      </c>
      <c r="D4" s="3" t="s">
        <v>1063</v>
      </c>
    </row>
    <row r="5" spans="1:4" x14ac:dyDescent="0.25">
      <c r="A5" s="10" t="s">
        <v>1017</v>
      </c>
      <c r="B5" s="5">
        <f>MIN(rawa_data[Total Amount])</f>
        <v>25</v>
      </c>
      <c r="D5" s="3" t="s">
        <v>1048</v>
      </c>
    </row>
    <row r="6" spans="1:4" x14ac:dyDescent="0.25">
      <c r="A6" s="10" t="s">
        <v>1018</v>
      </c>
      <c r="B6" s="4">
        <f>COUNT(rawa_data[Transaction ID])</f>
        <v>1000</v>
      </c>
      <c r="D6" s="3" t="s">
        <v>1049</v>
      </c>
    </row>
    <row r="7" spans="1:4" x14ac:dyDescent="0.25">
      <c r="D7" s="3" t="s">
        <v>1064</v>
      </c>
    </row>
    <row r="8" spans="1:4" x14ac:dyDescent="0.25">
      <c r="A8" s="9" t="s">
        <v>1026</v>
      </c>
      <c r="B8" s="8" t="s">
        <v>1025</v>
      </c>
      <c r="D8" s="3" t="s">
        <v>1048</v>
      </c>
    </row>
    <row r="9" spans="1:4" x14ac:dyDescent="0.25">
      <c r="A9" s="11" t="s">
        <v>1019</v>
      </c>
      <c r="B9" s="5">
        <f>SUMIF(rawa_data[Product Category],'raw data'!F1000,rawa_data[Total Amount])</f>
        <v>156905</v>
      </c>
      <c r="D9" s="3" t="s">
        <v>1060</v>
      </c>
    </row>
    <row r="10" spans="1:4" x14ac:dyDescent="0.25">
      <c r="A10" s="11" t="s">
        <v>1020</v>
      </c>
      <c r="B10" s="5">
        <f>SUMIF(rawa_data[Product Category],'raw data'!F3,rawa_data[Total Amount])</f>
        <v>155580</v>
      </c>
      <c r="D10" s="3" t="s">
        <v>1061</v>
      </c>
    </row>
    <row r="11" spans="1:4" x14ac:dyDescent="0.25">
      <c r="A11" s="11" t="s">
        <v>1021</v>
      </c>
      <c r="B11" s="5">
        <f>SUMIF(rawa_data[Product Category],'raw data'!F952,rawa_data[Total Amount])</f>
        <v>143515</v>
      </c>
    </row>
    <row r="12" spans="1:4" x14ac:dyDescent="0.25">
      <c r="A12" s="11" t="s">
        <v>1022</v>
      </c>
      <c r="B12" s="4">
        <f>COUNTIF(rawa_data[Gender],'raw data'!D1000)</f>
        <v>510</v>
      </c>
      <c r="D12" s="3"/>
    </row>
    <row r="13" spans="1:4" x14ac:dyDescent="0.25">
      <c r="A13" s="11" t="s">
        <v>1023</v>
      </c>
      <c r="B13" s="4">
        <f>COUNTIF(rawa_data[Gender],'raw data'!D1001)</f>
        <v>490</v>
      </c>
      <c r="D13" s="3"/>
    </row>
    <row r="15" spans="1:4" x14ac:dyDescent="0.25">
      <c r="A15" s="8" t="s">
        <v>1046</v>
      </c>
      <c r="B15" s="8" t="s">
        <v>1025</v>
      </c>
    </row>
    <row r="16" spans="1:4" x14ac:dyDescent="0.25">
      <c r="A16" s="14" t="s">
        <v>9</v>
      </c>
      <c r="B16" s="4">
        <f>SUMIF(rawa_data[Customer ID],'raw data'!C2,rawa_data[Total Amount])</f>
        <v>150</v>
      </c>
    </row>
    <row r="17" spans="1:2" x14ac:dyDescent="0.25">
      <c r="A17" s="15" t="s">
        <v>12</v>
      </c>
      <c r="B17" s="4">
        <f>SUMIF(rawa_data[Customer ID],'raw data'!C3,rawa_data[Total Amount])</f>
        <v>1000</v>
      </c>
    </row>
    <row r="18" spans="1:2" x14ac:dyDescent="0.25">
      <c r="A18" s="14" t="s">
        <v>15</v>
      </c>
      <c r="B18" s="4">
        <f>SUMIF(rawa_data[Customer ID],'raw data'!C4,rawa_data[Total Amount])</f>
        <v>30</v>
      </c>
    </row>
    <row r="19" spans="1:2" x14ac:dyDescent="0.25">
      <c r="A19" s="15" t="s">
        <v>17</v>
      </c>
      <c r="B19" s="4">
        <f>SUMIF(rawa_data[Customer ID],'raw data'!C5,rawa_data[Total Amount])</f>
        <v>500</v>
      </c>
    </row>
    <row r="20" spans="1:2" x14ac:dyDescent="0.25">
      <c r="A20" s="14" t="s">
        <v>18</v>
      </c>
      <c r="B20" s="4">
        <f>SUMIF(rawa_data[Customer ID],'raw data'!C6,rawa_data[Total Amount])</f>
        <v>100</v>
      </c>
    </row>
    <row r="23" spans="1:2" x14ac:dyDescent="0.25">
      <c r="A23" s="16"/>
      <c r="B23" s="6"/>
    </row>
    <row r="24" spans="1:2" x14ac:dyDescent="0.25">
      <c r="A24" s="17"/>
      <c r="B24" s="6"/>
    </row>
    <row r="25" spans="1:2" x14ac:dyDescent="0.25">
      <c r="A25" s="16"/>
      <c r="B25" s="6"/>
    </row>
    <row r="26" spans="1:2" x14ac:dyDescent="0.25">
      <c r="A26" s="17"/>
      <c r="B26" s="6"/>
    </row>
    <row r="27" spans="1:2" x14ac:dyDescent="0.25">
      <c r="A27" s="16"/>
      <c r="B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8ED4-C4E4-4A6D-863D-C7E81069DD67}">
  <dimension ref="A3:D16"/>
  <sheetViews>
    <sheetView workbookViewId="0">
      <selection activeCell="A11" sqref="A11:D16"/>
      <pivotSelection pane="bottomRight" showHeader="1" activeRow="10" previousRow="10" click="1" r:id="rId1">
        <pivotArea type="all" dataOnly="0" outline="0" fieldPosition="0"/>
      </pivotSelection>
    </sheetView>
  </sheetViews>
  <sheetFormatPr defaultRowHeight="15" x14ac:dyDescent="0.25"/>
  <cols>
    <col min="1" max="1" width="17.42578125" bestFit="1" customWidth="1"/>
    <col min="2" max="2" width="19.85546875" bestFit="1" customWidth="1"/>
    <col min="3" max="3" width="7" bestFit="1" customWidth="1"/>
    <col min="4" max="4" width="11.28515625" bestFit="1" customWidth="1"/>
  </cols>
  <sheetData>
    <row r="3" spans="1:4" x14ac:dyDescent="0.25">
      <c r="A3" s="12" t="s">
        <v>1043</v>
      </c>
      <c r="B3" t="s">
        <v>1029</v>
      </c>
    </row>
    <row r="4" spans="1:4" x14ac:dyDescent="0.25">
      <c r="A4" s="13" t="s">
        <v>16</v>
      </c>
      <c r="B4" s="19">
        <v>156905</v>
      </c>
    </row>
    <row r="5" spans="1:4" x14ac:dyDescent="0.25">
      <c r="A5" s="13" t="s">
        <v>14</v>
      </c>
      <c r="B5" s="2">
        <v>155580</v>
      </c>
    </row>
    <row r="6" spans="1:4" x14ac:dyDescent="0.25">
      <c r="A6" s="13" t="s">
        <v>11</v>
      </c>
      <c r="B6" s="18">
        <v>143515</v>
      </c>
    </row>
    <row r="7" spans="1:4" x14ac:dyDescent="0.25">
      <c r="A7" s="13" t="s">
        <v>1028</v>
      </c>
      <c r="B7" s="2">
        <v>456000</v>
      </c>
    </row>
    <row r="11" spans="1:4" x14ac:dyDescent="0.25">
      <c r="A11" s="12" t="s">
        <v>1044</v>
      </c>
      <c r="B11" s="12" t="s">
        <v>1030</v>
      </c>
    </row>
    <row r="12" spans="1:4" x14ac:dyDescent="0.25">
      <c r="A12" s="12" t="s">
        <v>1027</v>
      </c>
      <c r="B12" t="s">
        <v>13</v>
      </c>
      <c r="C12" t="s">
        <v>10</v>
      </c>
      <c r="D12" t="s">
        <v>1028</v>
      </c>
    </row>
    <row r="13" spans="1:4" x14ac:dyDescent="0.25">
      <c r="A13" s="13" t="s">
        <v>16</v>
      </c>
      <c r="B13" s="2">
        <v>76735</v>
      </c>
      <c r="C13" s="2">
        <v>80170</v>
      </c>
      <c r="D13" s="19">
        <v>156905</v>
      </c>
    </row>
    <row r="14" spans="1:4" x14ac:dyDescent="0.25">
      <c r="A14" s="13" t="s">
        <v>14</v>
      </c>
      <c r="B14" s="2">
        <v>81275</v>
      </c>
      <c r="C14" s="2">
        <v>74305</v>
      </c>
      <c r="D14" s="2">
        <v>155580</v>
      </c>
    </row>
    <row r="15" spans="1:4" x14ac:dyDescent="0.25">
      <c r="A15" s="13" t="s">
        <v>11</v>
      </c>
      <c r="B15" s="2">
        <v>74830</v>
      </c>
      <c r="C15" s="2">
        <v>68685</v>
      </c>
      <c r="D15" s="18">
        <v>143515</v>
      </c>
    </row>
    <row r="16" spans="1:4" x14ac:dyDescent="0.25">
      <c r="A16" s="13" t="s">
        <v>1028</v>
      </c>
      <c r="B16" s="2">
        <v>232840</v>
      </c>
      <c r="C16" s="2">
        <v>223160</v>
      </c>
      <c r="D16" s="2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A5B3-DEB0-4C19-91AE-73C4237F61FE}">
  <dimension ref="A1:M16"/>
  <sheetViews>
    <sheetView zoomScale="58" zoomScaleNormal="97" workbookViewId="0">
      <selection activeCell="J31" sqref="J31"/>
    </sheetView>
  </sheetViews>
  <sheetFormatPr defaultRowHeight="15" x14ac:dyDescent="0.25"/>
  <cols>
    <col min="1" max="1" width="13.140625" bestFit="1" customWidth="1"/>
    <col min="2" max="2" width="19.85546875" bestFit="1" customWidth="1"/>
    <col min="13" max="13" width="111.28515625" bestFit="1" customWidth="1"/>
  </cols>
  <sheetData>
    <row r="1" spans="1:13" x14ac:dyDescent="0.25">
      <c r="A1" s="12" t="s">
        <v>1</v>
      </c>
      <c r="B1" t="s">
        <v>1045</v>
      </c>
    </row>
    <row r="2" spans="1:13" x14ac:dyDescent="0.25">
      <c r="M2" s="3" t="s">
        <v>1051</v>
      </c>
    </row>
    <row r="3" spans="1:13" x14ac:dyDescent="0.25">
      <c r="A3" s="12" t="s">
        <v>1027</v>
      </c>
      <c r="B3" t="s">
        <v>1044</v>
      </c>
      <c r="M3" s="3" t="s">
        <v>1050</v>
      </c>
    </row>
    <row r="4" spans="1:13" x14ac:dyDescent="0.25">
      <c r="A4" s="13" t="s">
        <v>1031</v>
      </c>
      <c r="B4" s="20">
        <v>36980</v>
      </c>
    </row>
    <row r="5" spans="1:13" x14ac:dyDescent="0.25">
      <c r="A5" s="13" t="s">
        <v>1032</v>
      </c>
      <c r="B5" s="20">
        <v>44060</v>
      </c>
    </row>
    <row r="6" spans="1:13" x14ac:dyDescent="0.25">
      <c r="A6" s="13" t="s">
        <v>1033</v>
      </c>
      <c r="B6" s="20">
        <v>28990</v>
      </c>
    </row>
    <row r="7" spans="1:13" x14ac:dyDescent="0.25">
      <c r="A7" s="13" t="s">
        <v>1034</v>
      </c>
      <c r="B7" s="20">
        <v>33870</v>
      </c>
    </row>
    <row r="8" spans="1:13" x14ac:dyDescent="0.25">
      <c r="A8" s="13" t="s">
        <v>1035</v>
      </c>
      <c r="B8" s="20">
        <v>53150</v>
      </c>
    </row>
    <row r="9" spans="1:13" x14ac:dyDescent="0.25">
      <c r="A9" s="13" t="s">
        <v>1036</v>
      </c>
      <c r="B9" s="20">
        <v>36715</v>
      </c>
    </row>
    <row r="10" spans="1:13" x14ac:dyDescent="0.25">
      <c r="A10" s="13" t="s">
        <v>1037</v>
      </c>
      <c r="B10" s="20">
        <v>35465</v>
      </c>
    </row>
    <row r="11" spans="1:13" x14ac:dyDescent="0.25">
      <c r="A11" s="13" t="s">
        <v>1038</v>
      </c>
      <c r="B11" s="20">
        <v>36960</v>
      </c>
    </row>
    <row r="12" spans="1:13" x14ac:dyDescent="0.25">
      <c r="A12" s="13" t="s">
        <v>1039</v>
      </c>
      <c r="B12" s="20">
        <v>23620</v>
      </c>
    </row>
    <row r="13" spans="1:13" x14ac:dyDescent="0.25">
      <c r="A13" s="13" t="s">
        <v>1040</v>
      </c>
      <c r="B13" s="20">
        <v>46580</v>
      </c>
    </row>
    <row r="14" spans="1:13" x14ac:dyDescent="0.25">
      <c r="A14" s="13" t="s">
        <v>1041</v>
      </c>
      <c r="B14" s="20">
        <v>34920</v>
      </c>
    </row>
    <row r="15" spans="1:13" x14ac:dyDescent="0.25">
      <c r="A15" s="13" t="s">
        <v>1042</v>
      </c>
      <c r="B15" s="20">
        <v>44690</v>
      </c>
    </row>
    <row r="16" spans="1:13" x14ac:dyDescent="0.25">
      <c r="A16" s="13" t="s">
        <v>1028</v>
      </c>
      <c r="B16" s="20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F19A-1E52-4209-BE21-F11F32F4C440}">
  <dimension ref="A1:D17"/>
  <sheetViews>
    <sheetView showGridLines="0" zoomScale="104" zoomScaleNormal="88" workbookViewId="0">
      <selection activeCell="I43" sqref="I43"/>
    </sheetView>
  </sheetViews>
  <sheetFormatPr defaultRowHeight="15" x14ac:dyDescent="0.25"/>
  <cols>
    <col min="1" max="1" width="47" bestFit="1" customWidth="1"/>
    <col min="2" max="2" width="13.5703125" bestFit="1" customWidth="1"/>
    <col min="3" max="3" width="19.42578125" customWidth="1"/>
    <col min="4" max="4" width="19.7109375" customWidth="1"/>
  </cols>
  <sheetData>
    <row r="1" spans="1:4" ht="23.25" x14ac:dyDescent="0.35">
      <c r="A1" s="24"/>
      <c r="B1" s="24"/>
      <c r="D1" s="25" t="s">
        <v>1052</v>
      </c>
    </row>
    <row r="2" spans="1:4" x14ac:dyDescent="0.25">
      <c r="A2" s="22"/>
    </row>
    <row r="3" spans="1:4" x14ac:dyDescent="0.25">
      <c r="A3" s="23" t="s">
        <v>1044</v>
      </c>
      <c r="B3" s="23" t="s">
        <v>1053</v>
      </c>
      <c r="C3" s="23" t="s">
        <v>1054</v>
      </c>
      <c r="D3" s="23" t="s">
        <v>1055</v>
      </c>
    </row>
    <row r="4" spans="1:4" x14ac:dyDescent="0.25">
      <c r="A4" s="32">
        <f>summary!B2</f>
        <v>456000</v>
      </c>
      <c r="B4" s="33">
        <f>summary!B6</f>
        <v>1000</v>
      </c>
      <c r="C4" s="32">
        <f>summary!B3</f>
        <v>456</v>
      </c>
      <c r="D4" s="33" t="str">
        <f>Trend!A8</f>
        <v>May</v>
      </c>
    </row>
    <row r="5" spans="1:4" x14ac:dyDescent="0.25">
      <c r="A5" s="28"/>
      <c r="B5" s="7"/>
      <c r="C5" s="28"/>
      <c r="D5" s="7"/>
    </row>
    <row r="6" spans="1:4" x14ac:dyDescent="0.25">
      <c r="A6" s="21" t="s">
        <v>1044</v>
      </c>
      <c r="B6" s="21"/>
      <c r="C6" s="21"/>
      <c r="D6" s="21"/>
    </row>
    <row r="7" spans="1:4" x14ac:dyDescent="0.25">
      <c r="A7" s="21"/>
      <c r="B7" s="21" t="s">
        <v>13</v>
      </c>
      <c r="C7" s="21" t="s">
        <v>10</v>
      </c>
      <c r="D7" s="21" t="s">
        <v>1028</v>
      </c>
    </row>
    <row r="8" spans="1:4" x14ac:dyDescent="0.25">
      <c r="A8" s="29" t="s">
        <v>16</v>
      </c>
      <c r="B8" s="30">
        <v>76735</v>
      </c>
      <c r="C8" s="30">
        <v>80170</v>
      </c>
      <c r="D8" s="19">
        <v>156905</v>
      </c>
    </row>
    <row r="9" spans="1:4" x14ac:dyDescent="0.25">
      <c r="A9" s="29" t="s">
        <v>14</v>
      </c>
      <c r="B9" s="30">
        <v>81275</v>
      </c>
      <c r="C9" s="30">
        <v>74305</v>
      </c>
      <c r="D9" s="30">
        <v>155580</v>
      </c>
    </row>
    <row r="10" spans="1:4" x14ac:dyDescent="0.25">
      <c r="A10" s="29" t="s">
        <v>11</v>
      </c>
      <c r="B10" s="30">
        <v>74830</v>
      </c>
      <c r="C10" s="30">
        <v>68685</v>
      </c>
      <c r="D10" s="18">
        <v>143515</v>
      </c>
    </row>
    <row r="11" spans="1:4" x14ac:dyDescent="0.25">
      <c r="A11" s="29" t="s">
        <v>1028</v>
      </c>
      <c r="B11" s="30">
        <v>232840</v>
      </c>
      <c r="C11" s="30">
        <v>223160</v>
      </c>
      <c r="D11" s="31">
        <v>456000</v>
      </c>
    </row>
    <row r="12" spans="1:4" x14ac:dyDescent="0.25">
      <c r="A12" s="13"/>
      <c r="B12" s="2"/>
      <c r="C12" s="2"/>
      <c r="D12" s="2"/>
    </row>
    <row r="13" spans="1:4" x14ac:dyDescent="0.25">
      <c r="A13" s="27" t="s">
        <v>1065</v>
      </c>
      <c r="B13" s="2"/>
      <c r="C13" s="2"/>
      <c r="D13" s="2"/>
    </row>
    <row r="14" spans="1:4" x14ac:dyDescent="0.25">
      <c r="A14" s="26" t="s">
        <v>1056</v>
      </c>
    </row>
    <row r="15" spans="1:4" x14ac:dyDescent="0.25">
      <c r="A15" s="26" t="s">
        <v>1057</v>
      </c>
    </row>
    <row r="16" spans="1:4" x14ac:dyDescent="0.25">
      <c r="A16" s="26" t="s">
        <v>1058</v>
      </c>
    </row>
    <row r="17" spans="1:1" x14ac:dyDescent="0.25">
      <c r="A17" s="26" t="s">
        <v>1059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5F0DE5-F2FB-4154-8365-DFC770C59F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summary</vt:lpstr>
      <vt:lpstr>pivot</vt:lpstr>
      <vt:lpstr>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sawaluddin</dc:creator>
  <cp:lastModifiedBy>muhammad sawaluddin</cp:lastModifiedBy>
  <dcterms:created xsi:type="dcterms:W3CDTF">2026-04-17T13:38:12Z</dcterms:created>
  <dcterms:modified xsi:type="dcterms:W3CDTF">2026-04-18T04:38:07Z</dcterms:modified>
</cp:coreProperties>
</file>